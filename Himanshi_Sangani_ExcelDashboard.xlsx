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All_Project_Data\EXCEL_PROJECTS\Pratical_Test\"/>
    </mc:Choice>
  </mc:AlternateContent>
  <xr:revisionPtr revIDLastSave="0" documentId="13_ncr:1_{1FA1D02C-3AF6-448B-B531-D78E0D1A199C}" xr6:coauthVersionLast="47" xr6:coauthVersionMax="47" xr10:uidLastSave="{00000000-0000-0000-0000-000000000000}"/>
  <bookViews>
    <workbookView xWindow="-120" yWindow="-120" windowWidth="20730" windowHeight="11040" activeTab="1" xr2:uid="{7C897265-1BC0-4F33-A939-F1C668D85C3C}"/>
  </bookViews>
  <sheets>
    <sheet name="Dashboard " sheetId="4" r:id="rId1"/>
    <sheet name="Analysis" sheetId="1" r:id="rId2"/>
    <sheet name="Summery Report" sheetId="5" r:id="rId3"/>
    <sheet name="Pivot Tables" sheetId="3" r:id="rId4"/>
    <sheet name="Book Transction" sheetId="2" r:id="rId5"/>
  </sheets>
  <definedNames>
    <definedName name="ExternalData_1" localSheetId="4" hidden="1">'Book Transction'!$A$1:$L$121</definedName>
    <definedName name="NativeTimeline_Issue_Date">#N/A</definedName>
    <definedName name="Slicer_Department">#N/A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86" i="1" l="1" a="1"/>
  <c r="C86" i="1" s="1"/>
  <c r="C85" i="1"/>
  <c r="C84" i="1"/>
  <c r="C83" i="1"/>
  <c r="M2" i="2"/>
  <c r="C82" i="1"/>
  <c r="B22" i="1" a="1"/>
  <c r="B22" i="1" s="1"/>
  <c r="A68" i="1" a="1"/>
  <c r="A68" i="1" s="1"/>
  <c r="B45" i="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B43" i="1"/>
  <c r="B44" i="1"/>
  <c r="B73" i="1" l="1"/>
  <c r="B69" i="1"/>
  <c r="B76" i="1"/>
  <c r="B72" i="1"/>
  <c r="B68" i="1"/>
  <c r="B75" i="1"/>
  <c r="B71" i="1"/>
  <c r="B74" i="1"/>
  <c r="B70" i="1"/>
  <c r="A6" i="1" a="1"/>
  <c r="A6" i="1" s="1"/>
  <c r="A54" i="1" a="1"/>
  <c r="A54" i="1" s="1"/>
  <c r="B54" i="1" s="1"/>
  <c r="C68" i="1" l="1" a="1"/>
  <c r="C68" i="1" s="1"/>
  <c r="B57" i="1"/>
  <c r="B55" i="1"/>
  <c r="C55" i="1" s="1"/>
  <c r="B61" i="1"/>
  <c r="B59" i="1"/>
  <c r="B58" i="1"/>
  <c r="B56" i="1"/>
  <c r="B62" i="1"/>
  <c r="B60" i="1"/>
  <c r="C60" i="1" s="1"/>
  <c r="C58" i="1" l="1"/>
  <c r="C62" i="1"/>
  <c r="C57" i="1"/>
  <c r="C59" i="1"/>
  <c r="C56" i="1"/>
  <c r="C6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CB523A-3A62-4325-A2E3-288AEE282F48}" keepAlive="1" name="Query - TransactionsTable" description="Connection to the 'TransactionsTable' query in the workbook." type="5" refreshedVersion="8" background="1" saveData="1">
    <dbPr connection="Provider=Microsoft.Mashup.OleDb.1;Data Source=$Workbook$;Location=TransactionsTable;Extended Properties=&quot;&quot;" command="SELECT * FROM [TransactionsTable]"/>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<sst xmlns="http://schemas.openxmlformats.org/spreadsheetml/2006/main" count="830" uniqueCount="131">
  <si>
    <t>Transaction ID</t>
  </si>
  <si>
    <t>Book ID</t>
  </si>
  <si>
    <t>Book Title</t>
  </si>
  <si>
    <t>Author</t>
  </si>
  <si>
    <t>Category</t>
  </si>
  <si>
    <t>Member ID</t>
  </si>
  <si>
    <t>Member Name</t>
  </si>
  <si>
    <t>Member Type</t>
  </si>
  <si>
    <t>Department</t>
  </si>
  <si>
    <t>Issue Date</t>
  </si>
  <si>
    <t>Due Date</t>
  </si>
  <si>
    <t>Return Date</t>
  </si>
  <si>
    <t>Wings of Fire</t>
  </si>
  <si>
    <t>A. P. J. Abdul Kalam</t>
  </si>
  <si>
    <t>Biography</t>
  </si>
  <si>
    <t>Aarav Shah</t>
  </si>
  <si>
    <t>Student</t>
  </si>
  <si>
    <t>Science</t>
  </si>
  <si>
    <t>Sapiens</t>
  </si>
  <si>
    <t>Yuval Noah Harari</t>
  </si>
  <si>
    <t>History</t>
  </si>
  <si>
    <t>Anaya Desai</t>
  </si>
  <si>
    <t>Arts</t>
  </si>
  <si>
    <t>The Psychology of Money</t>
  </si>
  <si>
    <t>Morgan Housel</t>
  </si>
  <si>
    <t>Finance</t>
  </si>
  <si>
    <t>Advik Shah</t>
  </si>
  <si>
    <t>Faculty</t>
  </si>
  <si>
    <t>Mathematics</t>
  </si>
  <si>
    <t>Rich Dad Poor Dad</t>
  </si>
  <si>
    <t>Robert T. Kiyosaki</t>
  </si>
  <si>
    <t>Kiara Bhatt</t>
  </si>
  <si>
    <t>Staff</t>
  </si>
  <si>
    <t>Library Services</t>
  </si>
  <si>
    <t>Think and Grow Rich</t>
  </si>
  <si>
    <t>Napoleon Hill</t>
  </si>
  <si>
    <t>Krish Solanki</t>
  </si>
  <si>
    <t>The Power of Now</t>
  </si>
  <si>
    <t>Eckhart Tolle</t>
  </si>
  <si>
    <t>Self-help</t>
  </si>
  <si>
    <t>Kabir Modi</t>
  </si>
  <si>
    <t>Harry Potter and the Philosopher's Stone</t>
  </si>
  <si>
    <t>J. K. Rowling</t>
  </si>
  <si>
    <t>Fantasy</t>
  </si>
  <si>
    <t>Sara Merchant</t>
  </si>
  <si>
    <t>Clean Code</t>
  </si>
  <si>
    <t>Robert C. Martin</t>
  </si>
  <si>
    <t>Technology</t>
  </si>
  <si>
    <t>Vivaan Mehta</t>
  </si>
  <si>
    <t>Computer Science</t>
  </si>
  <si>
    <t>Pride and Prejudice</t>
  </si>
  <si>
    <t>Jane Austen</t>
  </si>
  <si>
    <t>Classic</t>
  </si>
  <si>
    <t>Saanvi Trivedi</t>
  </si>
  <si>
    <t>Ikigai</t>
  </si>
  <si>
    <t>Héctor García and Francesc Miralles</t>
  </si>
  <si>
    <t>Arjun Vyas</t>
  </si>
  <si>
    <t>Commerce</t>
  </si>
  <si>
    <t>To Kill a Mockingbird</t>
  </si>
  <si>
    <t>Harper Lee</t>
  </si>
  <si>
    <t>Navya Dave</t>
  </si>
  <si>
    <t>The Great Gatsby</t>
  </si>
  <si>
    <t>F. Scott Fitzgerald</t>
  </si>
  <si>
    <t>Rudra Gohil</t>
  </si>
  <si>
    <t>India After Gandhi</t>
  </si>
  <si>
    <t>Ramachandra Guha</t>
  </si>
  <si>
    <t>Diya Patel</t>
  </si>
  <si>
    <t>Reyansh Joshi</t>
  </si>
  <si>
    <t>Administration</t>
  </si>
  <si>
    <t>Introduction to Algorithms</t>
  </si>
  <si>
    <t>Thomas H. Cormen et al.</t>
  </si>
  <si>
    <t>Python Crash Course</t>
  </si>
  <si>
    <t>Eric Matthes</t>
  </si>
  <si>
    <t>Aadhya Rana</t>
  </si>
  <si>
    <t>English</t>
  </si>
  <si>
    <t>Dhruv Patel</t>
  </si>
  <si>
    <t>IT Support</t>
  </si>
  <si>
    <t>The Hobbit</t>
  </si>
  <si>
    <t>J. R. R. Tolkien</t>
  </si>
  <si>
    <t>Anvi Thakkar</t>
  </si>
  <si>
    <t>The Blue Umbrella</t>
  </si>
  <si>
    <t>Ruskin Bond</t>
  </si>
  <si>
    <t>Children</t>
  </si>
  <si>
    <t>Myra Parmar</t>
  </si>
  <si>
    <t>The Alchemist</t>
  </si>
  <si>
    <t>Paulo Coelho</t>
  </si>
  <si>
    <t>Fiction</t>
  </si>
  <si>
    <t>Ishaan Pandya</t>
  </si>
  <si>
    <t>Pari Shah</t>
  </si>
  <si>
    <t>The Discovery of India</t>
  </si>
  <si>
    <t>Jawaharlal Nehru</t>
  </si>
  <si>
    <t>Atomic Habits</t>
  </si>
  <si>
    <t>James Clear</t>
  </si>
  <si>
    <t xml:space="preserve">Days </t>
  </si>
  <si>
    <t>Return Book</t>
  </si>
  <si>
    <t>Total Book Transction</t>
  </si>
  <si>
    <t>Total Book</t>
  </si>
  <si>
    <t xml:space="preserve">Category </t>
  </si>
  <si>
    <t xml:space="preserve">Transction </t>
  </si>
  <si>
    <t xml:space="preserve">Book </t>
  </si>
  <si>
    <t>Month</t>
  </si>
  <si>
    <t>Select Aouther</t>
  </si>
  <si>
    <t>Late Return</t>
  </si>
  <si>
    <t xml:space="preserve">Return Status </t>
  </si>
  <si>
    <t>Select Transction Id</t>
  </si>
  <si>
    <t>Transction Id</t>
  </si>
  <si>
    <t>Book Name</t>
  </si>
  <si>
    <t>Return Status</t>
  </si>
  <si>
    <t>Average Borrowing Days</t>
  </si>
  <si>
    <t>Show Aouther All Book</t>
  </si>
  <si>
    <t>-</t>
  </si>
  <si>
    <t xml:space="preserve">Member </t>
  </si>
  <si>
    <t>MemberType</t>
  </si>
  <si>
    <t>Book</t>
  </si>
  <si>
    <t>Transaction</t>
  </si>
  <si>
    <t>ReturnBook</t>
  </si>
  <si>
    <t>Count Transction</t>
  </si>
  <si>
    <t>Transction</t>
  </si>
  <si>
    <t xml:space="preserve">Find Transactions Info </t>
  </si>
  <si>
    <t>Select Transactions Id</t>
  </si>
  <si>
    <t>Show Book Status By Transaction</t>
  </si>
  <si>
    <t xml:space="preserve">Month By Transactions </t>
  </si>
  <si>
    <t>Total Transactions</t>
  </si>
  <si>
    <t>Growth</t>
  </si>
  <si>
    <t xml:space="preserve">Most  Category in Transactions </t>
  </si>
  <si>
    <t xml:space="preserve">Most Frequently Transactions by  Category </t>
  </si>
  <si>
    <t>Hightest  Month Transaction</t>
  </si>
  <si>
    <t>Total Transaction</t>
  </si>
  <si>
    <t>Most Frequently Transactions</t>
  </si>
  <si>
    <t>Data Summarization</t>
  </si>
  <si>
    <t>Hightest  Return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</si>
</sst>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reen]\_xd83d_\_xdd3c_#\ \ \ \ \ 0.00;[Red]\_xd83d_\_xdd3d_#\ \ \ \ \-0.00"/>
  </numFmts>
  <fonts count="8"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1"/>
      <name val="Aptos Narrow"/>
      <family val="2"/>
      <scheme val="minor"/>
    </font>
    <font>
      <b/>
      <sz val="11"/>
      <color theme="8" tint="-0.499984740745262"/>
      <name val="Aptos Narrow"/>
      <family val="2"/>
      <scheme val="minor"/>
    </font>
  </fonts>
  <fills count="6">
    <fill>
      <patternFill patternType="none"/>
    </fill>
    <fill>
      <patternFill patternType="gray125"/>
    </fill>
    <fill>
      <patternFill patternType="solid">
        <fgColor theme="1" tint="4.9989318521683403E-2"/>
        <bgColor indexed="64"/>
      </patternFill>
    </fill>
    <fill>
      <patternFill patternType="solid">
        <fgColor theme="8" tint="-0.499984740745262"/>
        <bgColor indexed="64"/>
      </patternFill>
    </fill>
    <fill>
      <patternFill patternType="solid">
        <fgColor theme="8" tint="0.59999389629810485"/>
        <bgColor theme="4"/>
      </patternFill>
    </fill>
    <fill>
      <patternFill patternType="solid">
        <fgColor theme="8"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39">
    <xf numFmtId="0" fontId="0" fillId="0" borderId="0" xfId="0"/>
    <xf numFmtId="0" fontId="0" fillId="0" borderId="0" xfId="0" applyNumberFormat="1"/>
    <xf numFmtId="14" fontId="0" fillId="0" borderId="0" xfId="0" applyNumberFormat="1"/>
    <xf numFmtId="0" fontId="0" fillId="2" borderId="0" xfId="0" applyFill="1"/>
    <xf numFmtId="1" fontId="0" fillId="0" borderId="0" xfId="0" applyNumberFormat="1"/>
    <xf numFmtId="0" fontId="0" fillId="0" borderId="1" xfId="0" applyBorder="1"/>
    <xf numFmtId="0" fontId="3" fillId="0" borderId="0" xfId="0" applyFont="1" applyBorder="1" applyAlignment="1">
      <alignment horizont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1" xfId="0" applyNumberFormat="1" applyBorder="1" applyAlignment="1">
      <alignment horizontal="center" vertical="center"/>
    </xf>
    <xf numFmtId="0" fontId="4" fillId="3" borderId="0" xfId="0" applyFont="1" applyFill="1"/>
    <xf numFmtId="0" fontId="0" fillId="0" borderId="1" xfId="0" applyNumberFormat="1" applyBorder="1"/>
    <xf numFmtId="1" fontId="0" fillId="0" borderId="1" xfId="0" applyNumberFormat="1" applyBorder="1"/>
    <xf numFmtId="0" fontId="4" fillId="3" borderId="1" xfId="0" applyFont="1" applyFill="1" applyBorder="1"/>
    <xf numFmtId="0" fontId="0" fillId="0" borderId="1" xfId="0" applyBorder="1" applyAlignment="1">
      <alignment horizontal="left"/>
    </xf>
    <xf numFmtId="10" fontId="0" fillId="0" borderId="1" xfId="0" applyNumberFormat="1" applyBorder="1"/>
    <xf numFmtId="0" fontId="0" fillId="0" borderId="2" xfId="0" applyBorder="1" applyAlignment="1">
      <alignment horizontal="left"/>
    </xf>
    <xf numFmtId="0" fontId="2" fillId="3" borderId="1" xfId="0" applyFont="1" applyFill="1" applyBorder="1"/>
    <xf numFmtId="0" fontId="3" fillId="4" borderId="1" xfId="0" applyFont="1" applyFill="1" applyBorder="1"/>
    <xf numFmtId="14" fontId="3" fillId="4" borderId="1" xfId="0" applyNumberFormat="1" applyFont="1" applyFill="1" applyBorder="1"/>
    <xf numFmtId="1" fontId="3" fillId="4" borderId="1" xfId="0" applyNumberFormat="1" applyFont="1" applyFill="1" applyBorder="1"/>
    <xf numFmtId="0" fontId="6" fillId="4" borderId="1" xfId="0" applyFont="1" applyFill="1" applyBorder="1" applyAlignment="1">
      <alignment horizontal="center" vertical="center"/>
    </xf>
    <xf numFmtId="14" fontId="6" fillId="4" borderId="1" xfId="0" applyNumberFormat="1" applyFont="1" applyFill="1" applyBorder="1" applyAlignment="1">
      <alignment horizontal="center" vertical="center"/>
    </xf>
    <xf numFmtId="1" fontId="6" fillId="4" borderId="1" xfId="0" applyNumberFormat="1" applyFont="1" applyFill="1" applyBorder="1" applyAlignment="1">
      <alignment horizontal="center" vertical="center"/>
    </xf>
    <xf numFmtId="0" fontId="3" fillId="5" borderId="1" xfId="0" applyFont="1" applyFill="1" applyBorder="1"/>
    <xf numFmtId="0" fontId="3" fillId="0" borderId="1" xfId="0" applyFont="1" applyFill="1" applyBorder="1" applyAlignment="1"/>
    <xf numFmtId="14" fontId="7" fillId="0" borderId="1" xfId="0" applyNumberFormat="1" applyFont="1" applyBorder="1" applyAlignment="1">
      <alignment horizontal="center" vertical="center"/>
    </xf>
    <xf numFmtId="0" fontId="0" fillId="5" borderId="1" xfId="0" applyFont="1" applyFill="1" applyBorder="1" applyAlignment="1">
      <alignment horizontal="center" vertical="center"/>
    </xf>
    <xf numFmtId="0" fontId="0" fillId="0" borderId="1" xfId="0" applyBorder="1" applyAlignment="1"/>
    <xf numFmtId="0" fontId="4" fillId="0" borderId="1" xfId="0" applyFont="1" applyBorder="1" applyAlignment="1">
      <alignment horizontal="left"/>
    </xf>
    <xf numFmtId="164" fontId="3" fillId="0" borderId="1" xfId="0" applyNumberFormat="1" applyFont="1" applyBorder="1" applyAlignment="1">
      <alignment horizontal="left" vertical="center"/>
    </xf>
    <xf numFmtId="164" fontId="0" fillId="0" borderId="1" xfId="1" applyNumberFormat="1" applyFont="1" applyBorder="1" applyAlignment="1">
      <alignment horizontal="left" vertical="center"/>
    </xf>
    <xf numFmtId="0" fontId="3" fillId="0" borderId="1" xfId="0" applyFont="1" applyBorder="1" applyAlignment="1"/>
    <xf numFmtId="0" fontId="2" fillId="3" borderId="0" xfId="0" applyFont="1" applyFill="1" applyBorder="1"/>
    <xf numFmtId="0" fontId="3" fillId="5" borderId="0" xfId="0" applyFont="1" applyFill="1" applyAlignment="1">
      <alignment horizontal="center" vertical="center"/>
    </xf>
    <xf numFmtId="0" fontId="2" fillId="3" borderId="3" xfId="0" applyFont="1" applyFill="1" applyBorder="1" applyAlignment="1"/>
    <xf numFmtId="0" fontId="2" fillId="3" borderId="4" xfId="0" applyFont="1" applyFill="1" applyBorder="1" applyAlignment="1"/>
    <xf numFmtId="0" fontId="0" fillId="0" borderId="1" xfId="0" applyBorder="1" applyAlignment="1">
      <alignment horizontal="right"/>
    </xf>
    <xf numFmtId="0" fontId="3" fillId="0" borderId="1" xfId="0" applyFont="1" applyBorder="1" applyAlignment="1">
      <alignment horizontal="center" vertical="center"/>
    </xf>
  </cellXfs>
  <cellStyles count="2">
    <cellStyle name="Normal" xfId="0" builtinId="0"/>
    <cellStyle name="Percent" xfId="1" builtinId="5"/>
  </cellStyles>
  <dxfs count="63">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bgColor theme="8" tint="-0.499984740745262"/>
        </patternFill>
      </fill>
    </dxf>
    <dxf>
      <fill>
        <patternFill patternType="solid">
          <bgColor theme="3" tint="9.9978637043366805E-2"/>
        </patternFill>
      </fill>
    </dxf>
    <dxf>
      <numFmt numFmtId="0" formatCode="General"/>
    </dxf>
    <dxf>
      <font>
        <color theme="0"/>
      </font>
    </dxf>
    <dxf>
      <fill>
        <patternFill patternType="solid">
          <bgColor theme="8" tint="-0.499984740745262"/>
        </patternFill>
      </fill>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patternType="solid">
          <fgColor indexed="64"/>
          <bgColor theme="8" tint="-0.499984740745262"/>
        </patternFill>
      </fill>
    </dxf>
    <dxf>
      <font>
        <color theme="0"/>
      </font>
      <fill>
        <patternFill patternType="solid">
          <fgColor indexed="64"/>
          <bgColor theme="8" tint="-0.499984740745262"/>
        </patternFill>
      </fill>
    </dxf>
    <dxf>
      <numFmt numFmtId="1" formatCode="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patternType="solid">
          <fgColor indexed="64"/>
          <bgColor theme="8" tint="-0.499984740745262"/>
        </patternFill>
      </fill>
    </dxf>
    <dxf>
      <font>
        <color theme="0"/>
      </font>
      <fill>
        <patternFill patternType="solid">
          <fgColor indexed="64"/>
          <bgColor theme="8" tint="-0.499984740745262"/>
        </patternFill>
      </fill>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patternType="solid">
          <fgColor indexed="64"/>
          <bgColor theme="8" tint="-0.499984740745262"/>
        </patternFill>
      </fill>
    </dxf>
    <dxf>
      <font>
        <color theme="0"/>
      </font>
      <fill>
        <patternFill patternType="solid">
          <fgColor indexed="64"/>
          <bgColor theme="8" tint="-0.499984740745262"/>
        </patternFill>
      </fill>
    </dxf>
    <dxf>
      <numFmt numFmtId="14" formatCode="0.0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patternType="solid">
          <fgColor indexed="64"/>
          <bgColor theme="8" tint="-0.499984740745262"/>
        </patternFill>
      </fill>
    </dxf>
    <dxf>
      <font>
        <color theme="0"/>
      </font>
      <fill>
        <patternFill patternType="solid">
          <fgColor indexed="64"/>
          <bgColor theme="8" tint="-0.499984740745262"/>
        </patternFill>
      </fill>
    </dxf>
    <dxf>
      <numFmt numFmtId="14" formatCode="0.0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patternType="solid">
          <fgColor indexed="64"/>
          <bgColor theme="8" tint="-0.499984740745262"/>
        </patternFill>
      </fill>
    </dxf>
    <dxf>
      <font>
        <color theme="0"/>
      </font>
      <fill>
        <patternFill patternType="solid">
          <fgColor indexed="64"/>
          <bgColor theme="8" tint="-0.499984740745262"/>
        </patternFill>
      </fill>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patternType="solid">
          <fgColor indexed="64"/>
          <bgColor theme="8" tint="-0.499984740745262"/>
        </patternFill>
      </fill>
    </dxf>
    <dxf>
      <numFmt numFmtId="1" formatCode="0"/>
    </dxf>
    <dxf>
      <border>
        <left style="thin">
          <color indexed="64"/>
        </left>
        <top style="thin">
          <color indexed="64"/>
        </top>
        <bottom style="thin">
          <color indexed="64"/>
        </bottom>
        <vertical style="thin">
          <color indexed="64"/>
        </vertical>
        <horizontal style="thin">
          <color indexed="64"/>
        </horizontal>
      </border>
    </dxf>
    <dxf>
      <font>
        <color theme="0"/>
      </font>
      <fill>
        <patternFill patternType="solid">
          <fgColor indexed="64"/>
          <bgColor theme="8"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patternType="solid">
          <fgColor indexed="64"/>
          <bgColor theme="8" tint="-0.499984740745262"/>
        </patternFill>
      </fill>
    </dxf>
    <dxf>
      <font>
        <color theme="0"/>
      </font>
      <fill>
        <patternFill patternType="solid">
          <fgColor indexed="64"/>
          <bgColor theme="8" tint="-0.499984740745262"/>
        </patternFill>
      </fill>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patternType="solid">
          <fgColor indexed="64"/>
          <bgColor theme="8" tint="-0.499984740745262"/>
        </patternFill>
      </fill>
    </dxf>
    <dxf>
      <numFmt numFmtId="19" formatCode="dd/mm/yyyy"/>
    </dxf>
    <dxf>
      <numFmt numFmtId="19" formatCode="dd/mm/yyyy"/>
    </dxf>
    <dxf>
      <numFmt numFmtId="1" formatCode="0"/>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border>
        <vertical/>
        <horizontal/>
      </border>
    </dxf>
    <dxf>
      <font>
        <b/>
        <i val="0"/>
        <color theme="1"/>
      </font>
      <border>
        <left style="thin">
          <color theme="8"/>
        </left>
        <right style="thin">
          <color theme="8"/>
        </right>
        <top style="thin">
          <color theme="8"/>
        </top>
        <bottom style="thin">
          <color theme="8"/>
        </bottom>
        <vertical/>
        <horizontal/>
      </border>
    </dxf>
  </dxfs>
  <tableStyles count="1" defaultTableStyle="TableStyleMedium2" defaultPivotStyle="PivotStyleLight16">
    <tableStyle name="TimeSlicerStyleLight5 2" pivot="0" table="0" count="9" xr9:uid="{E5621854-57D0-44DF-9BC7-62B2035E0701}">
      <tableStyleElement type="wholeTable" dxfId="62"/>
      <tableStyleElement type="headerRow" dxfId="61"/>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7">
        <dxf>
          <fill>
            <patternFill patternType="solid">
              <fgColor theme="8" tint="0.39997558519241921"/>
              <bgColor theme="8"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8" tint="0.59999389629810485"/>
              </stop>
              <stop position="1">
                <color theme="8"/>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8"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5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[Himanshi_Sangani_ExcelDashboard.xlsx]Pivot Tables!PivotTable4</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solidFill>
              <a:schemeClr val="lt1"/>
            </a:solidFill>
          </a:ln>
          <a:effectLst/>
        </c:spPr>
      </c:pivotFmt>
      <c:pivotFmt>
        <c:idx val="7"/>
        <c:spPr>
          <a:solidFill>
            <a:schemeClr val="accent5">
              <a:lumMod val="40000"/>
              <a:lumOff val="60000"/>
            </a:schemeClr>
          </a:solidFill>
          <a:ln w="19050">
            <a:solidFill>
              <a:schemeClr val="lt1"/>
            </a:solidFill>
          </a:ln>
          <a:effectLst/>
        </c:spPr>
      </c:pivotFmt>
      <c:pivotFmt>
        <c:idx val="8"/>
        <c:spPr>
          <a:solidFill>
            <a:schemeClr val="accent5">
              <a:lumMod val="50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60000"/>
              <a:lumOff val="40000"/>
            </a:schemeClr>
          </a:solidFill>
          <a:ln w="19050">
            <a:solidFill>
              <a:schemeClr val="lt1"/>
            </a:solidFill>
          </a:ln>
          <a:effectLst/>
        </c:spPr>
      </c:pivotFmt>
      <c:pivotFmt>
        <c:idx val="12"/>
        <c:spPr>
          <a:solidFill>
            <a:schemeClr val="accent5">
              <a:lumMod val="40000"/>
              <a:lumOff val="60000"/>
            </a:schemeClr>
          </a:solidFill>
          <a:ln w="19050">
            <a:solidFill>
              <a:schemeClr val="lt1"/>
            </a:solidFill>
          </a:ln>
          <a:effectLst/>
        </c:spPr>
      </c:pivotFmt>
      <c:pivotFmt>
        <c:idx val="13"/>
        <c:spPr>
          <a:solidFill>
            <a:schemeClr val="accent5">
              <a:lumMod val="50000"/>
            </a:schemeClr>
          </a:solidFill>
          <a:ln w="19050">
            <a:solidFill>
              <a:schemeClr val="lt1"/>
            </a:solidFill>
          </a:ln>
          <a:effectLst/>
        </c:spPr>
        <c:dLbl>
          <c:idx val="0"/>
          <c:layout>
            <c:manualLayout>
              <c:x val="-1.3745704467353952E-2"/>
              <c:y val="0.195121951219512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958320931533019E-2"/>
          <c:y val="5.3820772403449596E-2"/>
          <c:w val="0.55839056200449166"/>
          <c:h val="0.89281128320498404"/>
        </c:manualLayout>
      </c:layout>
      <c:doughnutChart>
        <c:varyColors val="1"/>
        <c:ser>
          <c:idx val="0"/>
          <c:order val="0"/>
          <c:tx>
            <c:strRef>
              <c:f>'Pivot Tables'!$E$2</c:f>
              <c:strCache>
                <c:ptCount val="1"/>
                <c:pt idx="0">
                  <c:v>Total</c:v>
                </c:pt>
              </c:strCache>
            </c:strRef>
          </c:tx>
          <c:spPr>
            <a:solidFill>
              <a:schemeClr val="accent5">
                <a:lumMod val="50000"/>
              </a:schemeClr>
            </a:solidFill>
          </c:spPr>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B168-41B3-8F8B-5E6226CC8167}"/>
              </c:ext>
            </c:extLst>
          </c:dPt>
          <c:dPt>
            <c:idx val="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B168-41B3-8F8B-5E6226CC8167}"/>
              </c:ext>
            </c:extLst>
          </c:dPt>
          <c:dLbls>
            <c:dLbl>
              <c:idx val="1"/>
              <c:layout>
                <c:manualLayout>
                  <c:x val="-1.3745704467353952E-2"/>
                  <c:y val="0.19512195121951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168-41B3-8F8B-5E6226CC8167}"/>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Tables'!$D$3:$D$4</c:f>
              <c:strCache>
                <c:ptCount val="2"/>
                <c:pt idx="0">
                  <c:v>Faculty</c:v>
                </c:pt>
                <c:pt idx="1">
                  <c:v>Student</c:v>
                </c:pt>
              </c:strCache>
            </c:strRef>
          </c:cat>
          <c:val>
            <c:numRef>
              <c:f>'Pivot Tables'!$E$3:$E$4</c:f>
              <c:numCache>
                <c:formatCode>0.00%</c:formatCode>
                <c:ptCount val="2"/>
                <c:pt idx="0">
                  <c:v>0.30769230769230771</c:v>
                </c:pt>
                <c:pt idx="1">
                  <c:v>0.69230769230769229</c:v>
                </c:pt>
              </c:numCache>
            </c:numRef>
          </c:val>
          <c:extLst>
            <c:ext xmlns:c16="http://schemas.microsoft.com/office/drawing/2014/chart" uri="{C3380CC4-5D6E-409C-BE32-E72D297353CC}">
              <c16:uniqueId val="{0000000D-0409-4379-A951-880F067B8BE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[Himanshi_Sangani_ExcelDashboard.xlsx]Pivot Tables!PivotTable5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Tables'!$E$7</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Tables'!$D$8:$D$20</c:f>
              <c:strCache>
                <c:ptCount val="13"/>
                <c:pt idx="0">
                  <c:v>5008</c:v>
                </c:pt>
                <c:pt idx="1">
                  <c:v>5009</c:v>
                </c:pt>
                <c:pt idx="2">
                  <c:v>5019</c:v>
                </c:pt>
                <c:pt idx="3">
                  <c:v>5023</c:v>
                </c:pt>
                <c:pt idx="4">
                  <c:v>5033</c:v>
                </c:pt>
                <c:pt idx="5">
                  <c:v>5034</c:v>
                </c:pt>
                <c:pt idx="6">
                  <c:v>5044</c:v>
                </c:pt>
                <c:pt idx="7">
                  <c:v>5048</c:v>
                </c:pt>
                <c:pt idx="8">
                  <c:v>5058</c:v>
                </c:pt>
                <c:pt idx="9">
                  <c:v>5059</c:v>
                </c:pt>
                <c:pt idx="10">
                  <c:v>5069</c:v>
                </c:pt>
                <c:pt idx="11">
                  <c:v>5073</c:v>
                </c:pt>
                <c:pt idx="12">
                  <c:v>5083</c:v>
                </c:pt>
              </c:strCache>
            </c:strRef>
          </c:cat>
          <c:val>
            <c:numRef>
              <c:f>'Pivot Tables'!$E$8:$E$20</c:f>
              <c:numCache>
                <c:formatCode>0</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val>
          <c:extLst>
            <c:ext xmlns:c16="http://schemas.microsoft.com/office/drawing/2014/chart" uri="{C3380CC4-5D6E-409C-BE32-E72D297353CC}">
              <c16:uniqueId val="{00000003-4550-4343-AA1C-99009A9EEF40}"/>
            </c:ext>
          </c:extLst>
        </c:ser>
        <c:dLbls>
          <c:showLegendKey val="0"/>
          <c:showVal val="0"/>
          <c:showCatName val="0"/>
          <c:showSerName val="0"/>
          <c:showPercent val="0"/>
          <c:showBubbleSize val="0"/>
        </c:dLbls>
        <c:gapWidth val="219"/>
        <c:overlap val="-27"/>
        <c:axId val="212483119"/>
        <c:axId val="212485039"/>
      </c:barChart>
      <c:catAx>
        <c:axId val="21248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12485039"/>
        <c:crosses val="autoZero"/>
        <c:auto val="1"/>
        <c:lblAlgn val="ctr"/>
        <c:lblOffset val="100"/>
        <c:noMultiLvlLbl val="0"/>
      </c:catAx>
      <c:valAx>
        <c:axId val="212485039"/>
        <c:scaling>
          <c:orientation val="minMax"/>
        </c:scaling>
        <c:delete val="1"/>
        <c:axPos val="l"/>
        <c:numFmt formatCode="0" sourceLinked="1"/>
        <c:majorTickMark val="none"/>
        <c:minorTickMark val="none"/>
        <c:tickLblPos val="nextTo"/>
        <c:crossAx val="212483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[Himanshi_Sangani_ExcelDashboard.xlsx]Pivot Tables!PivotTable6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Tables'!$I$2</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Tables'!$H$3:$H$6</c:f>
              <c:strCache>
                <c:ptCount val="4"/>
                <c:pt idx="0">
                  <c:v>Anvi Thakkar</c:v>
                </c:pt>
                <c:pt idx="1">
                  <c:v>Ishaan Pandya</c:v>
                </c:pt>
                <c:pt idx="2">
                  <c:v>Saanvi Trivedi</c:v>
                </c:pt>
                <c:pt idx="3">
                  <c:v>Vivaan Mehta</c:v>
                </c:pt>
              </c:strCache>
            </c:strRef>
          </c:cat>
          <c:val>
            <c:numRef>
              <c:f>'Pivot Tables'!$I$3:$I$6</c:f>
              <c:numCache>
                <c:formatCode>0</c:formatCode>
                <c:ptCount val="4"/>
                <c:pt idx="0">
                  <c:v>3</c:v>
                </c:pt>
                <c:pt idx="1">
                  <c:v>3</c:v>
                </c:pt>
                <c:pt idx="2">
                  <c:v>3</c:v>
                </c:pt>
                <c:pt idx="3">
                  <c:v>4</c:v>
                </c:pt>
              </c:numCache>
            </c:numRef>
          </c:val>
          <c:extLst>
            <c:ext xmlns:c16="http://schemas.microsoft.com/office/drawing/2014/chart" uri="{C3380CC4-5D6E-409C-BE32-E72D297353CC}">
              <c16:uniqueId val="{00000007-1E9B-4D01-9B96-4D68D8877673}"/>
            </c:ext>
          </c:extLst>
        </c:ser>
        <c:dLbls>
          <c:showLegendKey val="0"/>
          <c:showVal val="0"/>
          <c:showCatName val="0"/>
          <c:showSerName val="0"/>
          <c:showPercent val="0"/>
          <c:showBubbleSize val="0"/>
        </c:dLbls>
        <c:gapWidth val="219"/>
        <c:overlap val="-27"/>
        <c:axId val="30774399"/>
        <c:axId val="30774879"/>
      </c:barChart>
      <c:catAx>
        <c:axId val="3077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0774879"/>
        <c:crosses val="autoZero"/>
        <c:auto val="1"/>
        <c:lblAlgn val="ctr"/>
        <c:lblOffset val="100"/>
        <c:noMultiLvlLbl val="0"/>
      </c:catAx>
      <c:valAx>
        <c:axId val="30774879"/>
        <c:scaling>
          <c:orientation val="minMax"/>
        </c:scaling>
        <c:delete val="1"/>
        <c:axPos val="l"/>
        <c:numFmt formatCode="0" sourceLinked="1"/>
        <c:majorTickMark val="none"/>
        <c:minorTickMark val="none"/>
        <c:tickLblPos val="nextTo"/>
        <c:crossAx val="30774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[Himanshi_Sangani_ExcelDashboard.xlsx]Pivot Tables!PivotTable10</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2700">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w="12700">
            <a:solidFill>
              <a:schemeClr val="tx1">
                <a:lumMod val="95000"/>
                <a:lumOff val="5000"/>
              </a:schemeClr>
            </a:solidFill>
          </a:ln>
          <a:effectLst/>
        </c:spPr>
      </c:pivotFmt>
      <c:pivotFmt>
        <c:idx val="6"/>
        <c:spPr>
          <a:solidFill>
            <a:schemeClr val="accent5">
              <a:lumMod val="20000"/>
              <a:lumOff val="80000"/>
            </a:schemeClr>
          </a:solidFill>
          <a:ln w="12700">
            <a:solidFill>
              <a:schemeClr val="tx1">
                <a:lumMod val="95000"/>
                <a:lumOff val="5000"/>
              </a:schemeClr>
            </a:solidFill>
          </a:ln>
          <a:effectLst/>
        </c:spPr>
      </c:pivotFmt>
      <c:pivotFmt>
        <c:idx val="7"/>
        <c:spPr>
          <a:solidFill>
            <a:schemeClr val="accent5">
              <a:lumMod val="75000"/>
            </a:schemeClr>
          </a:solidFill>
          <a:ln w="12700">
            <a:solidFill>
              <a:schemeClr val="tx1">
                <a:lumMod val="95000"/>
                <a:lumOff val="5000"/>
              </a:schemeClr>
            </a:solidFill>
          </a:ln>
          <a:effectLst/>
        </c:spPr>
      </c:pivotFmt>
    </c:pivotFmts>
    <c:plotArea>
      <c:layout>
        <c:manualLayout>
          <c:layoutTarget val="inner"/>
          <c:xMode val="edge"/>
          <c:yMode val="edge"/>
          <c:x val="0"/>
          <c:y val="0.23755430571178604"/>
          <c:w val="0.63519823179997226"/>
          <c:h val="0.74711411073615785"/>
        </c:manualLayout>
      </c:layout>
      <c:pieChart>
        <c:varyColors val="1"/>
        <c:ser>
          <c:idx val="0"/>
          <c:order val="0"/>
          <c:tx>
            <c:strRef>
              <c:f>'Pivot Tables'!$M$14</c:f>
              <c:strCache>
                <c:ptCount val="1"/>
                <c:pt idx="0">
                  <c:v>Total</c:v>
                </c:pt>
              </c:strCache>
            </c:strRef>
          </c:tx>
          <c:spPr>
            <a:ln w="12700">
              <a:solidFill>
                <a:schemeClr val="tx1">
                  <a:lumMod val="95000"/>
                  <a:lumOff val="5000"/>
                </a:schemeClr>
              </a:solidFill>
            </a:ln>
          </c:spPr>
          <c:dPt>
            <c:idx val="0"/>
            <c:bubble3D val="0"/>
            <c:spPr>
              <a:solidFill>
                <a:schemeClr val="accent5">
                  <a:lumMod val="50000"/>
                </a:schemeClr>
              </a:solidFill>
              <a:ln w="12700">
                <a:solidFill>
                  <a:schemeClr val="tx1">
                    <a:lumMod val="95000"/>
                    <a:lumOff val="5000"/>
                  </a:schemeClr>
                </a:solidFill>
              </a:ln>
              <a:effectLst/>
            </c:spPr>
            <c:extLst>
              <c:ext xmlns:c16="http://schemas.microsoft.com/office/drawing/2014/chart" uri="{C3380CC4-5D6E-409C-BE32-E72D297353CC}">
                <c16:uniqueId val="{00000001-CDE1-4B7D-90D2-2A93DFBC92F5}"/>
              </c:ext>
            </c:extLst>
          </c:dPt>
          <c:dPt>
            <c:idx val="1"/>
            <c:bubble3D val="0"/>
            <c:spPr>
              <a:solidFill>
                <a:schemeClr val="accent5">
                  <a:lumMod val="20000"/>
                  <a:lumOff val="80000"/>
                </a:schemeClr>
              </a:solidFill>
              <a:ln w="12700">
                <a:solidFill>
                  <a:schemeClr val="tx1">
                    <a:lumMod val="95000"/>
                    <a:lumOff val="5000"/>
                  </a:schemeClr>
                </a:solidFill>
              </a:ln>
              <a:effectLst/>
            </c:spPr>
            <c:extLst>
              <c:ext xmlns:c16="http://schemas.microsoft.com/office/drawing/2014/chart" uri="{C3380CC4-5D6E-409C-BE32-E72D297353CC}">
                <c16:uniqueId val="{00000003-CDE1-4B7D-90D2-2A93DFBC92F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Tables'!$L$15:$L$16</c:f>
              <c:strCache>
                <c:ptCount val="2"/>
                <c:pt idx="0">
                  <c:v>Late Return</c:v>
                </c:pt>
                <c:pt idx="1">
                  <c:v>Return Book</c:v>
                </c:pt>
              </c:strCache>
            </c:strRef>
          </c:cat>
          <c:val>
            <c:numRef>
              <c:f>'Pivot Tables'!$M$15:$M$16</c:f>
              <c:numCache>
                <c:formatCode>0.00%</c:formatCode>
                <c:ptCount val="2"/>
                <c:pt idx="0">
                  <c:v>0.69230769230769229</c:v>
                </c:pt>
                <c:pt idx="1">
                  <c:v>0.30769230769230771</c:v>
                </c:pt>
              </c:numCache>
            </c:numRef>
          </c:val>
          <c:extLst>
            <c:ext xmlns:c16="http://schemas.microsoft.com/office/drawing/2014/chart" uri="{C3380CC4-5D6E-409C-BE32-E72D297353CC}">
              <c16:uniqueId val="{00000005-7B8A-4DC2-8D85-54C21AD76E8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[Himanshi_Sangani_ExcelDashboard.xlsx]Pivot Tables!PivotTable8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Tables'!$I$10</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Tables'!$H$11:$H$20</c:f>
              <c:strCache>
                <c:ptCount val="10"/>
                <c:pt idx="0">
                  <c:v>Atomic Habits</c:v>
                </c:pt>
                <c:pt idx="1">
                  <c:v>Clean Code</c:v>
                </c:pt>
                <c:pt idx="2">
                  <c:v>Harry Potter and the Philosopher's Stone</c:v>
                </c:pt>
                <c:pt idx="3">
                  <c:v>India After Gandhi</c:v>
                </c:pt>
                <c:pt idx="4">
                  <c:v>Pride and Prejudice</c:v>
                </c:pt>
                <c:pt idx="5">
                  <c:v>Rich Dad Poor Dad</c:v>
                </c:pt>
                <c:pt idx="6">
                  <c:v>The Alchemist</c:v>
                </c:pt>
                <c:pt idx="7">
                  <c:v>The Great Gatsby</c:v>
                </c:pt>
                <c:pt idx="8">
                  <c:v>The Hobbit</c:v>
                </c:pt>
                <c:pt idx="9">
                  <c:v>The Psychology of Money</c:v>
                </c:pt>
              </c:strCache>
            </c:strRef>
          </c:cat>
          <c:val>
            <c:numRef>
              <c:f>'Pivot Tables'!$I$11:$I$20</c:f>
              <c:numCache>
                <c:formatCode>0</c:formatCode>
                <c:ptCount val="10"/>
                <c:pt idx="0">
                  <c:v>1</c:v>
                </c:pt>
                <c:pt idx="1">
                  <c:v>1</c:v>
                </c:pt>
                <c:pt idx="2">
                  <c:v>1</c:v>
                </c:pt>
                <c:pt idx="3">
                  <c:v>1</c:v>
                </c:pt>
                <c:pt idx="4">
                  <c:v>3</c:v>
                </c:pt>
                <c:pt idx="5">
                  <c:v>1</c:v>
                </c:pt>
                <c:pt idx="6">
                  <c:v>2</c:v>
                </c:pt>
                <c:pt idx="7">
                  <c:v>1</c:v>
                </c:pt>
                <c:pt idx="8">
                  <c:v>1</c:v>
                </c:pt>
                <c:pt idx="9">
                  <c:v>1</c:v>
                </c:pt>
              </c:numCache>
            </c:numRef>
          </c:val>
          <c:extLst>
            <c:ext xmlns:c16="http://schemas.microsoft.com/office/drawing/2014/chart" uri="{C3380CC4-5D6E-409C-BE32-E72D297353CC}">
              <c16:uniqueId val="{00000004-04F7-41C8-883D-42C6B7258BB7}"/>
            </c:ext>
          </c:extLst>
        </c:ser>
        <c:dLbls>
          <c:showLegendKey val="0"/>
          <c:showVal val="0"/>
          <c:showCatName val="0"/>
          <c:showSerName val="0"/>
          <c:showPercent val="0"/>
          <c:showBubbleSize val="0"/>
        </c:dLbls>
        <c:gapWidth val="182"/>
        <c:axId val="741025967"/>
        <c:axId val="741013487"/>
      </c:barChart>
      <c:catAx>
        <c:axId val="741025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41013487"/>
        <c:crosses val="autoZero"/>
        <c:auto val="1"/>
        <c:lblAlgn val="ctr"/>
        <c:lblOffset val="100"/>
        <c:noMultiLvlLbl val="0"/>
      </c:catAx>
      <c:valAx>
        <c:axId val="741013487"/>
        <c:scaling>
          <c:orientation val="minMax"/>
        </c:scaling>
        <c:delete val="1"/>
        <c:axPos val="b"/>
        <c:numFmt formatCode="0" sourceLinked="1"/>
        <c:majorTickMark val="none"/>
        <c:minorTickMark val="none"/>
        <c:tickLblPos val="nextTo"/>
        <c:crossAx val="741025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[Himanshi_Sangani_ExcelDashboard.xlsx]Pivot Tables!PivotTable9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Tables'!$M$2</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Tables'!$L$3:$L$9</c:f>
              <c:strCache>
                <c:ptCount val="7"/>
                <c:pt idx="0">
                  <c:v>Classic</c:v>
                </c:pt>
                <c:pt idx="1">
                  <c:v>Fantasy</c:v>
                </c:pt>
                <c:pt idx="2">
                  <c:v>Fiction</c:v>
                </c:pt>
                <c:pt idx="3">
                  <c:v>Finance</c:v>
                </c:pt>
                <c:pt idx="4">
                  <c:v>History</c:v>
                </c:pt>
                <c:pt idx="5">
                  <c:v>Self-help</c:v>
                </c:pt>
                <c:pt idx="6">
                  <c:v>Technology</c:v>
                </c:pt>
              </c:strCache>
            </c:strRef>
          </c:cat>
          <c:val>
            <c:numRef>
              <c:f>'Pivot Tables'!$M$3:$M$9</c:f>
              <c:numCache>
                <c:formatCode>0</c:formatCode>
                <c:ptCount val="7"/>
                <c:pt idx="0">
                  <c:v>4</c:v>
                </c:pt>
                <c:pt idx="1">
                  <c:v>2</c:v>
                </c:pt>
                <c:pt idx="2">
                  <c:v>2</c:v>
                </c:pt>
                <c:pt idx="3">
                  <c:v>2</c:v>
                </c:pt>
                <c:pt idx="4">
                  <c:v>1</c:v>
                </c:pt>
                <c:pt idx="5">
                  <c:v>1</c:v>
                </c:pt>
                <c:pt idx="6">
                  <c:v>1</c:v>
                </c:pt>
              </c:numCache>
            </c:numRef>
          </c:val>
          <c:extLst>
            <c:ext xmlns:c16="http://schemas.microsoft.com/office/drawing/2014/chart" uri="{C3380CC4-5D6E-409C-BE32-E72D297353CC}">
              <c16:uniqueId val="{00000001-E35D-461F-818B-CCC56EC2A140}"/>
            </c:ext>
          </c:extLst>
        </c:ser>
        <c:dLbls>
          <c:showLegendKey val="0"/>
          <c:showVal val="0"/>
          <c:showCatName val="0"/>
          <c:showSerName val="0"/>
          <c:showPercent val="0"/>
          <c:showBubbleSize val="0"/>
        </c:dLbls>
        <c:gapWidth val="219"/>
        <c:overlap val="-27"/>
        <c:axId val="741021167"/>
        <c:axId val="741031247"/>
      </c:barChart>
      <c:catAx>
        <c:axId val="74102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41031247"/>
        <c:crosses val="autoZero"/>
        <c:auto val="1"/>
        <c:lblAlgn val="ctr"/>
        <c:lblOffset val="100"/>
        <c:noMultiLvlLbl val="0"/>
      </c:catAx>
      <c:valAx>
        <c:axId val="741031247"/>
        <c:scaling>
          <c:orientation val="minMax"/>
        </c:scaling>
        <c:delete val="1"/>
        <c:axPos val="l"/>
        <c:numFmt formatCode="0" sourceLinked="1"/>
        <c:majorTickMark val="none"/>
        <c:minorTickMark val="none"/>
        <c:tickLblPos val="nextTo"/>
        <c:crossAx val="741021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absolute">
    <xdr:from>
      <xdr:col>0</xdr:col>
      <xdr:colOff>47626</xdr:colOff>
      <xdr:row>0</xdr:row>
      <xdr:rowOff>38099</xdr:rowOff>
    </xdr:from>
    <xdr:to>
      <xdr:col>9</xdr:col>
      <xdr:colOff>161926</xdr:colOff>
      <xdr:row>5</xdr:row>
      <xdr:rowOff>123824</xdr:rowOff>
    </xdr:to>
    <xdr:sp macro="" textlink="">
      <xdr:nvSpPr>
        <xdr:cNvPr id="2" name="Rectangle: Rounded Corners 1">
          <a:extLst>
            <a:ext uri="{FF2B5EF4-FFF2-40B4-BE49-F238E27FC236}">
              <a16:creationId xmlns:a16="http://schemas.microsoft.com/office/drawing/2014/main" id="{BD1A52A6-06B9-A166-BAA8-81CE5F739F30}"/>
            </a:ext>
          </a:extLst>
        </xdr:cNvPr>
        <xdr:cNvSpPr/>
      </xdr:nvSpPr>
      <xdr:spPr>
        <a:xfrm>
          <a:off x="47626" y="38099"/>
          <a:ext cx="5600700" cy="10382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342900</xdr:colOff>
      <xdr:row>0</xdr:row>
      <xdr:rowOff>142875</xdr:rowOff>
    </xdr:from>
    <xdr:to>
      <xdr:col>9</xdr:col>
      <xdr:colOff>57150</xdr:colOff>
      <xdr:row>3</xdr:row>
      <xdr:rowOff>57150</xdr:rowOff>
    </xdr:to>
    <xdr:sp macro="" textlink="">
      <xdr:nvSpPr>
        <xdr:cNvPr id="3" name="TextBox 2">
          <a:extLst>
            <a:ext uri="{FF2B5EF4-FFF2-40B4-BE49-F238E27FC236}">
              <a16:creationId xmlns:a16="http://schemas.microsoft.com/office/drawing/2014/main" id="{A9A06213-B26A-5CAC-26CB-29235F9593AD}"/>
            </a:ext>
          </a:extLst>
        </xdr:cNvPr>
        <xdr:cNvSpPr txBox="1"/>
      </xdr:nvSpPr>
      <xdr:spPr>
        <a:xfrm>
          <a:off x="952500" y="142875"/>
          <a:ext cx="459105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a:t>Library Book</a:t>
          </a:r>
          <a:r>
            <a:rPr lang="en-IN" sz="2400" baseline="0"/>
            <a:t> </a:t>
          </a:r>
          <a:r>
            <a:rPr lang="en-IN" sz="2400"/>
            <a:t>Transaction</a:t>
          </a:r>
          <a:r>
            <a:rPr lang="en-IN" sz="2400" baseline="0"/>
            <a:t> Analysis</a:t>
          </a:r>
          <a:endParaRPr lang="en-IN" sz="2400"/>
        </a:p>
      </xdr:txBody>
    </xdr:sp>
    <xdr:clientData/>
  </xdr:twoCellAnchor>
  <xdr:twoCellAnchor editAs="oneCell">
    <xdr:from>
      <xdr:col>0</xdr:col>
      <xdr:colOff>171450</xdr:colOff>
      <xdr:row>1</xdr:row>
      <xdr:rowOff>104775</xdr:rowOff>
    </xdr:from>
    <xdr:to>
      <xdr:col>1</xdr:col>
      <xdr:colOff>257175</xdr:colOff>
      <xdr:row>4</xdr:row>
      <xdr:rowOff>104775</xdr:rowOff>
    </xdr:to>
    <xdr:pic>
      <xdr:nvPicPr>
        <xdr:cNvPr id="5" name="Graphic 4" descr="Books with solid fill">
          <a:extLst>
            <a:ext uri="{FF2B5EF4-FFF2-40B4-BE49-F238E27FC236}">
              <a16:creationId xmlns:a16="http://schemas.microsoft.com/office/drawing/2014/main" id="{5115E64B-13B0-1C8D-C98A-439D39E2E7A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0" y="295275"/>
          <a:ext cx="695325" cy="571500"/>
        </a:xfrm>
        <a:prstGeom prst="rect">
          <a:avLst/>
        </a:prstGeom>
      </xdr:spPr>
    </xdr:pic>
    <xdr:clientData/>
  </xdr:twoCellAnchor>
  <xdr:twoCellAnchor editAs="absolute">
    <xdr:from>
      <xdr:col>9</xdr:col>
      <xdr:colOff>180976</xdr:colOff>
      <xdr:row>0</xdr:row>
      <xdr:rowOff>76200</xdr:rowOff>
    </xdr:from>
    <xdr:to>
      <xdr:col>15</xdr:col>
      <xdr:colOff>104775</xdr:colOff>
      <xdr:row>5</xdr:row>
      <xdr:rowOff>142875</xdr:rowOff>
    </xdr:to>
    <xdr:sp macro="" textlink="">
      <xdr:nvSpPr>
        <xdr:cNvPr id="6" name="Rectangle: Rounded Corners 5">
          <a:extLst>
            <a:ext uri="{FF2B5EF4-FFF2-40B4-BE49-F238E27FC236}">
              <a16:creationId xmlns:a16="http://schemas.microsoft.com/office/drawing/2014/main" id="{101F52EE-04EC-D95C-E792-A423DD1C3944}"/>
            </a:ext>
          </a:extLst>
        </xdr:cNvPr>
        <xdr:cNvSpPr/>
      </xdr:nvSpPr>
      <xdr:spPr>
        <a:xfrm>
          <a:off x="5667376" y="76200"/>
          <a:ext cx="3581399" cy="10191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257175</xdr:colOff>
      <xdr:row>0</xdr:row>
      <xdr:rowOff>152400</xdr:rowOff>
    </xdr:from>
    <xdr:to>
      <xdr:col>14</xdr:col>
      <xdr:colOff>581025</xdr:colOff>
      <xdr:row>5</xdr:row>
      <xdr:rowOff>57150</xdr:rowOff>
    </xdr:to>
    <mc:AlternateContent xmlns:mc="http://schemas.openxmlformats.org/markup-compatibility/2006" xmlns:tsle="http://schemas.microsoft.com/office/drawing/2012/timeslicer">
      <mc:Choice Requires="tsle">
        <xdr:graphicFrame macro="">
          <xdr:nvGraphicFramePr>
            <xdr:cNvPr id="7" name="Issue Date">
              <a:extLst>
                <a:ext uri="{FF2B5EF4-FFF2-40B4-BE49-F238E27FC236}">
                  <a16:creationId xmlns:a16="http://schemas.microsoft.com/office/drawing/2014/main" id="{1EEFCC12-387C-4180-8A40-39F0D14D05F4}"/>
                </a:ext>
              </a:extLst>
            </xdr:cNvPr>
            <xdr:cNvGraphicFramePr/>
          </xdr:nvGraphicFramePr>
          <xdr:xfrm>
            <a:off x="0" y="0"/>
            <a:ext cx="0" cy="0"/>
          </xdr:xfrm>
          <a:graphic>
            <a:graphicData uri="http://schemas.microsoft.com/office/drawing/2012/timeslicer">
              <tsle:timeslicer name="Issue Date"/>
            </a:graphicData>
          </a:graphic>
        </xdr:graphicFrame>
      </mc:Choice>
      <mc:Fallback xmlns="">
        <xdr:sp macro="" textlink="">
          <xdr:nvSpPr>
            <xdr:cNvPr id="0" name=""/>
            <xdr:cNvSpPr>
              <a:spLocks noTextEdit="1"/>
            </xdr:cNvSpPr>
          </xdr:nvSpPr>
          <xdr:spPr>
            <a:xfrm>
              <a:off x="5743575" y="152400"/>
              <a:ext cx="3371850" cy="8572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absolute">
    <xdr:from>
      <xdr:col>3</xdr:col>
      <xdr:colOff>295275</xdr:colOff>
      <xdr:row>2</xdr:row>
      <xdr:rowOff>133350</xdr:rowOff>
    </xdr:from>
    <xdr:to>
      <xdr:col>6</xdr:col>
      <xdr:colOff>152400</xdr:colOff>
      <xdr:row>4</xdr:row>
      <xdr:rowOff>85725</xdr:rowOff>
    </xdr:to>
    <xdr:sp macro="" textlink="">
      <xdr:nvSpPr>
        <xdr:cNvPr id="8" name="TextBox 7">
          <a:extLst>
            <a:ext uri="{FF2B5EF4-FFF2-40B4-BE49-F238E27FC236}">
              <a16:creationId xmlns:a16="http://schemas.microsoft.com/office/drawing/2014/main" id="{0C0E3CAB-D0F3-F005-409F-90262B7AB4F6}"/>
            </a:ext>
          </a:extLst>
        </xdr:cNvPr>
        <xdr:cNvSpPr txBox="1"/>
      </xdr:nvSpPr>
      <xdr:spPr>
        <a:xfrm>
          <a:off x="2124075" y="514350"/>
          <a:ext cx="168592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Monthly</a:t>
          </a:r>
          <a:r>
            <a:rPr lang="en-IN" sz="1400" baseline="0"/>
            <a:t> Report</a:t>
          </a:r>
          <a:r>
            <a:rPr lang="en-IN" sz="1400"/>
            <a:t> </a:t>
          </a:r>
        </a:p>
      </xdr:txBody>
    </xdr:sp>
    <xdr:clientData/>
  </xdr:twoCellAnchor>
  <xdr:twoCellAnchor editAs="absolute">
    <xdr:from>
      <xdr:col>0</xdr:col>
      <xdr:colOff>47627</xdr:colOff>
      <xdr:row>5</xdr:row>
      <xdr:rowOff>190499</xdr:rowOff>
    </xdr:from>
    <xdr:to>
      <xdr:col>2</xdr:col>
      <xdr:colOff>247651</xdr:colOff>
      <xdr:row>24</xdr:row>
      <xdr:rowOff>104775</xdr:rowOff>
    </xdr:to>
    <xdr:sp macro="" textlink="">
      <xdr:nvSpPr>
        <xdr:cNvPr id="9" name="Rectangle: Rounded Corners 8">
          <a:extLst>
            <a:ext uri="{FF2B5EF4-FFF2-40B4-BE49-F238E27FC236}">
              <a16:creationId xmlns:a16="http://schemas.microsoft.com/office/drawing/2014/main" id="{9C869FDA-2DC7-2402-D7D8-A293F44B35E2}"/>
            </a:ext>
          </a:extLst>
        </xdr:cNvPr>
        <xdr:cNvSpPr/>
      </xdr:nvSpPr>
      <xdr:spPr>
        <a:xfrm>
          <a:off x="47627" y="1142999"/>
          <a:ext cx="1419224" cy="3533776"/>
        </a:xfrm>
        <a:prstGeom prst="roundRect">
          <a:avLst>
            <a:gd name="adj" fmla="val 1264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95252</xdr:colOff>
      <xdr:row>6</xdr:row>
      <xdr:rowOff>95249</xdr:rowOff>
    </xdr:from>
    <xdr:to>
      <xdr:col>2</xdr:col>
      <xdr:colOff>142875</xdr:colOff>
      <xdr:row>23</xdr:row>
      <xdr:rowOff>142875</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2E4B2FDC-70F7-49BB-BBD8-8A5750B62B7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5252" y="1238249"/>
              <a:ext cx="1266823" cy="3286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285751</xdr:colOff>
      <xdr:row>6</xdr:row>
      <xdr:rowOff>28575</xdr:rowOff>
    </xdr:from>
    <xdr:to>
      <xdr:col>6</xdr:col>
      <xdr:colOff>542925</xdr:colOff>
      <xdr:row>10</xdr:row>
      <xdr:rowOff>66675</xdr:rowOff>
    </xdr:to>
    <xdr:sp macro="" textlink="">
      <xdr:nvSpPr>
        <xdr:cNvPr id="13" name="Rectangle: Rounded Corners 12">
          <a:extLst>
            <a:ext uri="{FF2B5EF4-FFF2-40B4-BE49-F238E27FC236}">
              <a16:creationId xmlns:a16="http://schemas.microsoft.com/office/drawing/2014/main" id="{1F79967C-A0E0-53F1-47FE-C1ACCF4C75E9}"/>
            </a:ext>
          </a:extLst>
        </xdr:cNvPr>
        <xdr:cNvSpPr/>
      </xdr:nvSpPr>
      <xdr:spPr>
        <a:xfrm>
          <a:off x="1504951" y="1171575"/>
          <a:ext cx="2695574" cy="8001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581025</xdr:colOff>
      <xdr:row>6</xdr:row>
      <xdr:rowOff>47625</xdr:rowOff>
    </xdr:from>
    <xdr:to>
      <xdr:col>11</xdr:col>
      <xdr:colOff>95250</xdr:colOff>
      <xdr:row>10</xdr:row>
      <xdr:rowOff>66675</xdr:rowOff>
    </xdr:to>
    <xdr:sp macro="" textlink="">
      <xdr:nvSpPr>
        <xdr:cNvPr id="14" name="Rectangle: Rounded Corners 13">
          <a:extLst>
            <a:ext uri="{FF2B5EF4-FFF2-40B4-BE49-F238E27FC236}">
              <a16:creationId xmlns:a16="http://schemas.microsoft.com/office/drawing/2014/main" id="{C4B17B05-230B-02A9-4A5B-85968CEFBE0B}"/>
            </a:ext>
          </a:extLst>
        </xdr:cNvPr>
        <xdr:cNvSpPr/>
      </xdr:nvSpPr>
      <xdr:spPr>
        <a:xfrm>
          <a:off x="4238625" y="1190625"/>
          <a:ext cx="2562225" cy="7810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142876</xdr:colOff>
      <xdr:row>6</xdr:row>
      <xdr:rowOff>57150</xdr:rowOff>
    </xdr:from>
    <xdr:to>
      <xdr:col>15</xdr:col>
      <xdr:colOff>28576</xdr:colOff>
      <xdr:row>10</xdr:row>
      <xdr:rowOff>66675</xdr:rowOff>
    </xdr:to>
    <xdr:sp macro="" textlink="">
      <xdr:nvSpPr>
        <xdr:cNvPr id="15" name="Rectangle: Rounded Corners 14">
          <a:extLst>
            <a:ext uri="{FF2B5EF4-FFF2-40B4-BE49-F238E27FC236}">
              <a16:creationId xmlns:a16="http://schemas.microsoft.com/office/drawing/2014/main" id="{F34D487F-728E-CF6B-2630-3DBDDFBE0888}"/>
            </a:ext>
          </a:extLst>
        </xdr:cNvPr>
        <xdr:cNvSpPr/>
      </xdr:nvSpPr>
      <xdr:spPr>
        <a:xfrm>
          <a:off x="6848476" y="1200150"/>
          <a:ext cx="2324100" cy="7715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333374</xdr:colOff>
      <xdr:row>6</xdr:row>
      <xdr:rowOff>85725</xdr:rowOff>
    </xdr:from>
    <xdr:to>
      <xdr:col>5</xdr:col>
      <xdr:colOff>122463</xdr:colOff>
      <xdr:row>8</xdr:row>
      <xdr:rowOff>38100</xdr:rowOff>
    </xdr:to>
    <xdr:sp macro="" textlink="">
      <xdr:nvSpPr>
        <xdr:cNvPr id="16" name="TextBox 15">
          <a:extLst>
            <a:ext uri="{FF2B5EF4-FFF2-40B4-BE49-F238E27FC236}">
              <a16:creationId xmlns:a16="http://schemas.microsoft.com/office/drawing/2014/main" id="{E9432F92-E2D2-24A8-019D-19AE38612BC9}"/>
            </a:ext>
          </a:extLst>
        </xdr:cNvPr>
        <xdr:cNvSpPr txBox="1"/>
      </xdr:nvSpPr>
      <xdr:spPr>
        <a:xfrm>
          <a:off x="1558017" y="1228725"/>
          <a:ext cx="1626053"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t>Total</a:t>
          </a:r>
          <a:r>
            <a:rPr lang="en-IN" sz="1400" baseline="0"/>
            <a:t> </a:t>
          </a:r>
          <a:r>
            <a:rPr lang="en-IN" sz="1400"/>
            <a:t>Transactions </a:t>
          </a:r>
        </a:p>
      </xdr:txBody>
    </xdr:sp>
    <xdr:clientData/>
  </xdr:twoCellAnchor>
  <xdr:twoCellAnchor editAs="absolute">
    <xdr:from>
      <xdr:col>7</xdr:col>
      <xdr:colOff>57150</xdr:colOff>
      <xdr:row>6</xdr:row>
      <xdr:rowOff>114300</xdr:rowOff>
    </xdr:from>
    <xdr:to>
      <xdr:col>9</xdr:col>
      <xdr:colOff>257175</xdr:colOff>
      <xdr:row>8</xdr:row>
      <xdr:rowOff>66675</xdr:rowOff>
    </xdr:to>
    <xdr:sp macro="" textlink="">
      <xdr:nvSpPr>
        <xdr:cNvPr id="17" name="TextBox 16">
          <a:extLst>
            <a:ext uri="{FF2B5EF4-FFF2-40B4-BE49-F238E27FC236}">
              <a16:creationId xmlns:a16="http://schemas.microsoft.com/office/drawing/2014/main" id="{ACAA4D02-23BC-D975-63EA-0C51A3F7797E}"/>
            </a:ext>
          </a:extLst>
        </xdr:cNvPr>
        <xdr:cNvSpPr txBox="1"/>
      </xdr:nvSpPr>
      <xdr:spPr>
        <a:xfrm>
          <a:off x="4324350" y="1257300"/>
          <a:ext cx="141922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t>Total</a:t>
          </a:r>
          <a:r>
            <a:rPr lang="en-IN" sz="1400" baseline="0"/>
            <a:t> Book</a:t>
          </a:r>
          <a:endParaRPr lang="en-IN" sz="1400"/>
        </a:p>
      </xdr:txBody>
    </xdr:sp>
    <xdr:clientData/>
  </xdr:twoCellAnchor>
  <xdr:twoCellAnchor editAs="absolute">
    <xdr:from>
      <xdr:col>11</xdr:col>
      <xdr:colOff>190500</xdr:colOff>
      <xdr:row>6</xdr:row>
      <xdr:rowOff>114300</xdr:rowOff>
    </xdr:from>
    <xdr:to>
      <xdr:col>14</xdr:col>
      <xdr:colOff>323850</xdr:colOff>
      <xdr:row>8</xdr:row>
      <xdr:rowOff>66675</xdr:rowOff>
    </xdr:to>
    <xdr:sp macro="" textlink="">
      <xdr:nvSpPr>
        <xdr:cNvPr id="18" name="TextBox 17">
          <a:extLst>
            <a:ext uri="{FF2B5EF4-FFF2-40B4-BE49-F238E27FC236}">
              <a16:creationId xmlns:a16="http://schemas.microsoft.com/office/drawing/2014/main" id="{1642FFF2-6B9F-523B-6DB7-049B418DEEB3}"/>
            </a:ext>
          </a:extLst>
        </xdr:cNvPr>
        <xdr:cNvSpPr txBox="1"/>
      </xdr:nvSpPr>
      <xdr:spPr>
        <a:xfrm>
          <a:off x="6896100" y="1257300"/>
          <a:ext cx="19621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t>Average Borrowing Days </a:t>
          </a:r>
        </a:p>
      </xdr:txBody>
    </xdr:sp>
    <xdr:clientData/>
  </xdr:twoCellAnchor>
  <xdr:twoCellAnchor editAs="absolute">
    <xdr:from>
      <xdr:col>2</xdr:col>
      <xdr:colOff>361951</xdr:colOff>
      <xdr:row>7</xdr:row>
      <xdr:rowOff>123825</xdr:rowOff>
    </xdr:from>
    <xdr:to>
      <xdr:col>3</xdr:col>
      <xdr:colOff>438151</xdr:colOff>
      <xdr:row>9</xdr:row>
      <xdr:rowOff>76200</xdr:rowOff>
    </xdr:to>
    <xdr:sp macro="" textlink="'Pivot Tables'!A3">
      <xdr:nvSpPr>
        <xdr:cNvPr id="19" name="TextBox 18">
          <a:extLst>
            <a:ext uri="{FF2B5EF4-FFF2-40B4-BE49-F238E27FC236}">
              <a16:creationId xmlns:a16="http://schemas.microsoft.com/office/drawing/2014/main" id="{10D1EEF0-4285-1C82-2A7F-570B5C055CCF}"/>
            </a:ext>
          </a:extLst>
        </xdr:cNvPr>
        <xdr:cNvSpPr txBox="1"/>
      </xdr:nvSpPr>
      <xdr:spPr>
        <a:xfrm>
          <a:off x="1581151" y="1457325"/>
          <a:ext cx="6858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7DD57E3-E0EC-4B3C-B922-D98EC9CA1828}" type="TxLink">
            <a:rPr lang="en-US" sz="1100" b="1" i="0" u="none" strike="noStrike">
              <a:solidFill>
                <a:srgbClr val="000000"/>
              </a:solidFill>
              <a:latin typeface="Aptos Narrow"/>
            </a:rPr>
            <a:pPr algn="l"/>
            <a:t>607260</a:t>
          </a:fld>
          <a:endParaRPr lang="en-IN" sz="1400" b="1"/>
        </a:p>
      </xdr:txBody>
    </xdr:sp>
    <xdr:clientData/>
  </xdr:twoCellAnchor>
  <xdr:twoCellAnchor editAs="absolute">
    <xdr:from>
      <xdr:col>7</xdr:col>
      <xdr:colOff>76201</xdr:colOff>
      <xdr:row>7</xdr:row>
      <xdr:rowOff>123825</xdr:rowOff>
    </xdr:from>
    <xdr:to>
      <xdr:col>8</xdr:col>
      <xdr:colOff>152401</xdr:colOff>
      <xdr:row>9</xdr:row>
      <xdr:rowOff>76200</xdr:rowOff>
    </xdr:to>
    <xdr:sp macro="" textlink="'Pivot Tables'!A7">
      <xdr:nvSpPr>
        <xdr:cNvPr id="20" name="TextBox 19">
          <a:extLst>
            <a:ext uri="{FF2B5EF4-FFF2-40B4-BE49-F238E27FC236}">
              <a16:creationId xmlns:a16="http://schemas.microsoft.com/office/drawing/2014/main" id="{7434B829-1375-C379-91F5-4D2AD2ADCC2E}"/>
            </a:ext>
          </a:extLst>
        </xdr:cNvPr>
        <xdr:cNvSpPr txBox="1"/>
      </xdr:nvSpPr>
      <xdr:spPr>
        <a:xfrm>
          <a:off x="4343401" y="1457325"/>
          <a:ext cx="6858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02B2957-0C70-4FF9-9676-CF099BCAF4D0}" type="TxLink">
            <a:rPr lang="en-US" sz="1100" b="1" i="0" u="none" strike="noStrike">
              <a:solidFill>
                <a:srgbClr val="000000"/>
              </a:solidFill>
              <a:latin typeface="Aptos Narrow"/>
            </a:rPr>
            <a:pPr algn="l"/>
            <a:t>120</a:t>
          </a:fld>
          <a:endParaRPr lang="en-IN" sz="1400" b="1"/>
        </a:p>
      </xdr:txBody>
    </xdr:sp>
    <xdr:clientData/>
  </xdr:twoCellAnchor>
  <xdr:twoCellAnchor editAs="absolute">
    <xdr:from>
      <xdr:col>11</xdr:col>
      <xdr:colOff>200026</xdr:colOff>
      <xdr:row>7</xdr:row>
      <xdr:rowOff>161925</xdr:rowOff>
    </xdr:from>
    <xdr:to>
      <xdr:col>12</xdr:col>
      <xdr:colOff>276226</xdr:colOff>
      <xdr:row>9</xdr:row>
      <xdr:rowOff>114300</xdr:rowOff>
    </xdr:to>
    <xdr:sp macro="" textlink="'Pivot Tables'!A11">
      <xdr:nvSpPr>
        <xdr:cNvPr id="21" name="TextBox 20">
          <a:extLst>
            <a:ext uri="{FF2B5EF4-FFF2-40B4-BE49-F238E27FC236}">
              <a16:creationId xmlns:a16="http://schemas.microsoft.com/office/drawing/2014/main" id="{96B302A7-A80B-26E9-1868-A7D752112968}"/>
            </a:ext>
          </a:extLst>
        </xdr:cNvPr>
        <xdr:cNvSpPr txBox="1"/>
      </xdr:nvSpPr>
      <xdr:spPr>
        <a:xfrm>
          <a:off x="6905626" y="1495425"/>
          <a:ext cx="6858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0E9D510-EE62-4D57-973D-0F5530170B14}" type="TxLink">
            <a:rPr lang="en-US" sz="1100" b="1" i="0" u="none" strike="noStrike">
              <a:solidFill>
                <a:srgbClr val="000000"/>
              </a:solidFill>
              <a:latin typeface="Aptos Narrow"/>
            </a:rPr>
            <a:pPr algn="l"/>
            <a:t>15</a:t>
          </a:fld>
          <a:endParaRPr lang="en-IN" sz="1400" b="1"/>
        </a:p>
      </xdr:txBody>
    </xdr:sp>
    <xdr:clientData/>
  </xdr:twoCellAnchor>
  <xdr:twoCellAnchor editAs="absolute">
    <xdr:from>
      <xdr:col>5</xdr:col>
      <xdr:colOff>523875</xdr:colOff>
      <xdr:row>6</xdr:row>
      <xdr:rowOff>114300</xdr:rowOff>
    </xdr:from>
    <xdr:to>
      <xdr:col>6</xdr:col>
      <xdr:colOff>400050</xdr:colOff>
      <xdr:row>9</xdr:row>
      <xdr:rowOff>28575</xdr:rowOff>
    </xdr:to>
    <xdr:pic>
      <xdr:nvPicPr>
        <xdr:cNvPr id="23" name="Graphic 22" descr="Handshake with solid fill">
          <a:extLst>
            <a:ext uri="{FF2B5EF4-FFF2-40B4-BE49-F238E27FC236}">
              <a16:creationId xmlns:a16="http://schemas.microsoft.com/office/drawing/2014/main" id="{53E1BFA2-0BF1-7DF1-79CE-62773FF5011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71875" y="1257300"/>
          <a:ext cx="485775" cy="485775"/>
        </a:xfrm>
        <a:prstGeom prst="rect">
          <a:avLst/>
        </a:prstGeom>
      </xdr:spPr>
    </xdr:pic>
    <xdr:clientData/>
  </xdr:twoCellAnchor>
  <xdr:twoCellAnchor editAs="absolute">
    <xdr:from>
      <xdr:col>10</xdr:col>
      <xdr:colOff>140475</xdr:colOff>
      <xdr:row>6</xdr:row>
      <xdr:rowOff>159525</xdr:rowOff>
    </xdr:from>
    <xdr:to>
      <xdr:col>10</xdr:col>
      <xdr:colOff>571500</xdr:colOff>
      <xdr:row>9</xdr:row>
      <xdr:rowOff>19050</xdr:rowOff>
    </xdr:to>
    <xdr:pic>
      <xdr:nvPicPr>
        <xdr:cNvPr id="25" name="Graphic 24" descr="Books on shelf with solid fill">
          <a:extLst>
            <a:ext uri="{FF2B5EF4-FFF2-40B4-BE49-F238E27FC236}">
              <a16:creationId xmlns:a16="http://schemas.microsoft.com/office/drawing/2014/main" id="{0964AC02-9E32-BC8C-F85F-8193724CCDC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236475" y="1302525"/>
          <a:ext cx="431025" cy="431025"/>
        </a:xfrm>
        <a:prstGeom prst="rect">
          <a:avLst/>
        </a:prstGeom>
      </xdr:spPr>
    </xdr:pic>
    <xdr:clientData/>
  </xdr:twoCellAnchor>
  <xdr:twoCellAnchor editAs="absolute">
    <xdr:from>
      <xdr:col>14</xdr:col>
      <xdr:colOff>185701</xdr:colOff>
      <xdr:row>7</xdr:row>
      <xdr:rowOff>71401</xdr:rowOff>
    </xdr:from>
    <xdr:to>
      <xdr:col>14</xdr:col>
      <xdr:colOff>552451</xdr:colOff>
      <xdr:row>9</xdr:row>
      <xdr:rowOff>57151</xdr:rowOff>
    </xdr:to>
    <xdr:pic>
      <xdr:nvPicPr>
        <xdr:cNvPr id="27" name="Graphic 26" descr="Clock with solid fill">
          <a:extLst>
            <a:ext uri="{FF2B5EF4-FFF2-40B4-BE49-F238E27FC236}">
              <a16:creationId xmlns:a16="http://schemas.microsoft.com/office/drawing/2014/main" id="{45D029CC-28A6-12B6-3FD9-A18365E357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720101" y="1404901"/>
          <a:ext cx="366750" cy="366750"/>
        </a:xfrm>
        <a:prstGeom prst="rect">
          <a:avLst/>
        </a:prstGeom>
      </xdr:spPr>
    </xdr:pic>
    <xdr:clientData/>
  </xdr:twoCellAnchor>
  <xdr:twoCellAnchor editAs="absolute">
    <xdr:from>
      <xdr:col>15</xdr:col>
      <xdr:colOff>152401</xdr:colOff>
      <xdr:row>0</xdr:row>
      <xdr:rowOff>76200</xdr:rowOff>
    </xdr:from>
    <xdr:to>
      <xdr:col>20</xdr:col>
      <xdr:colOff>200025</xdr:colOff>
      <xdr:row>10</xdr:row>
      <xdr:rowOff>114300</xdr:rowOff>
    </xdr:to>
    <xdr:sp macro="" textlink="">
      <xdr:nvSpPr>
        <xdr:cNvPr id="30" name="Rectangle: Rounded Corners 29">
          <a:extLst>
            <a:ext uri="{FF2B5EF4-FFF2-40B4-BE49-F238E27FC236}">
              <a16:creationId xmlns:a16="http://schemas.microsoft.com/office/drawing/2014/main" id="{D3F3154F-6E4C-A906-CAAB-4A945D4DF016}"/>
            </a:ext>
          </a:extLst>
        </xdr:cNvPr>
        <xdr:cNvSpPr/>
      </xdr:nvSpPr>
      <xdr:spPr>
        <a:xfrm>
          <a:off x="9296401" y="76200"/>
          <a:ext cx="3095624" cy="1943100"/>
        </a:xfrm>
        <a:prstGeom prst="roundRect">
          <a:avLst>
            <a:gd name="adj" fmla="val 1127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15</xdr:col>
      <xdr:colOff>266700</xdr:colOff>
      <xdr:row>2</xdr:row>
      <xdr:rowOff>0</xdr:rowOff>
    </xdr:from>
    <xdr:to>
      <xdr:col>19</xdr:col>
      <xdr:colOff>600075</xdr:colOff>
      <xdr:row>10</xdr:row>
      <xdr:rowOff>38100</xdr:rowOff>
    </xdr:to>
    <xdr:graphicFrame macro="">
      <xdr:nvGraphicFramePr>
        <xdr:cNvPr id="31" name="Chart 30">
          <a:extLst>
            <a:ext uri="{FF2B5EF4-FFF2-40B4-BE49-F238E27FC236}">
              <a16:creationId xmlns:a16="http://schemas.microsoft.com/office/drawing/2014/main" id="{C1431DA6-42CC-442F-AF74-4D7B4CD01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16</xdr:col>
      <xdr:colOff>142876</xdr:colOff>
      <xdr:row>0</xdr:row>
      <xdr:rowOff>133350</xdr:rowOff>
    </xdr:from>
    <xdr:to>
      <xdr:col>19</xdr:col>
      <xdr:colOff>476250</xdr:colOff>
      <xdr:row>2</xdr:row>
      <xdr:rowOff>85725</xdr:rowOff>
    </xdr:to>
    <xdr:sp macro="" textlink="'Pivot Tables'!A11">
      <xdr:nvSpPr>
        <xdr:cNvPr id="32" name="TextBox 31">
          <a:extLst>
            <a:ext uri="{FF2B5EF4-FFF2-40B4-BE49-F238E27FC236}">
              <a16:creationId xmlns:a16="http://schemas.microsoft.com/office/drawing/2014/main" id="{27B2D750-5063-182B-0719-37459A4B0D03}"/>
            </a:ext>
          </a:extLst>
        </xdr:cNvPr>
        <xdr:cNvSpPr txBox="1"/>
      </xdr:nvSpPr>
      <xdr:spPr>
        <a:xfrm>
          <a:off x="9940019" y="133350"/>
          <a:ext cx="2170338"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Member Type By Transactions</a:t>
          </a:r>
        </a:p>
      </xdr:txBody>
    </xdr:sp>
    <xdr:clientData/>
  </xdr:twoCellAnchor>
  <xdr:twoCellAnchor editAs="absolute">
    <xdr:from>
      <xdr:col>11</xdr:col>
      <xdr:colOff>38100</xdr:colOff>
      <xdr:row>10</xdr:row>
      <xdr:rowOff>152399</xdr:rowOff>
    </xdr:from>
    <xdr:to>
      <xdr:col>20</xdr:col>
      <xdr:colOff>180975</xdr:colOff>
      <xdr:row>25</xdr:row>
      <xdr:rowOff>9525</xdr:rowOff>
    </xdr:to>
    <xdr:sp macro="" textlink="">
      <xdr:nvSpPr>
        <xdr:cNvPr id="33" name="Rectangle: Rounded Corners 32">
          <a:extLst>
            <a:ext uri="{FF2B5EF4-FFF2-40B4-BE49-F238E27FC236}">
              <a16:creationId xmlns:a16="http://schemas.microsoft.com/office/drawing/2014/main" id="{14F7AF01-5B6D-4D76-5F32-4B3833F32A6C}"/>
            </a:ext>
          </a:extLst>
        </xdr:cNvPr>
        <xdr:cNvSpPr/>
      </xdr:nvSpPr>
      <xdr:spPr>
        <a:xfrm>
          <a:off x="6743700" y="2057399"/>
          <a:ext cx="5629275" cy="2714626"/>
        </a:xfrm>
        <a:prstGeom prst="roundRect">
          <a:avLst>
            <a:gd name="adj" fmla="val 1127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219076</xdr:colOff>
      <xdr:row>12</xdr:row>
      <xdr:rowOff>47625</xdr:rowOff>
    </xdr:from>
    <xdr:to>
      <xdr:col>20</xdr:col>
      <xdr:colOff>28576</xdr:colOff>
      <xdr:row>23</xdr:row>
      <xdr:rowOff>161925</xdr:rowOff>
    </xdr:to>
    <xdr:graphicFrame macro="">
      <xdr:nvGraphicFramePr>
        <xdr:cNvPr id="34" name="Chart 33">
          <a:extLst>
            <a:ext uri="{FF2B5EF4-FFF2-40B4-BE49-F238E27FC236}">
              <a16:creationId xmlns:a16="http://schemas.microsoft.com/office/drawing/2014/main" id="{4A7A8445-0D97-40EA-8214-F8D925A57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14</xdr:col>
      <xdr:colOff>114301</xdr:colOff>
      <xdr:row>10</xdr:row>
      <xdr:rowOff>142875</xdr:rowOff>
    </xdr:from>
    <xdr:to>
      <xdr:col>17</xdr:col>
      <xdr:colOff>304801</xdr:colOff>
      <xdr:row>12</xdr:row>
      <xdr:rowOff>95250</xdr:rowOff>
    </xdr:to>
    <xdr:sp macro="" textlink="'Pivot Tables'!A11">
      <xdr:nvSpPr>
        <xdr:cNvPr id="35" name="TextBox 34">
          <a:extLst>
            <a:ext uri="{FF2B5EF4-FFF2-40B4-BE49-F238E27FC236}">
              <a16:creationId xmlns:a16="http://schemas.microsoft.com/office/drawing/2014/main" id="{31058987-3199-4924-B17A-0BC20216DF81}"/>
            </a:ext>
          </a:extLst>
        </xdr:cNvPr>
        <xdr:cNvSpPr txBox="1"/>
      </xdr:nvSpPr>
      <xdr:spPr>
        <a:xfrm>
          <a:off x="8648701" y="2047875"/>
          <a:ext cx="20193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a:t>
          </a:r>
          <a:r>
            <a:rPr lang="en-IN" sz="1200" b="1" baseline="0"/>
            <a:t>l </a:t>
          </a:r>
          <a:r>
            <a:rPr lang="en-IN" sz="1200" b="1"/>
            <a:t>Transactions </a:t>
          </a:r>
          <a:r>
            <a:rPr lang="en-IN" sz="1200" b="1" baseline="0"/>
            <a:t>by Book</a:t>
          </a:r>
          <a:endParaRPr lang="en-IN" sz="1200" b="1"/>
        </a:p>
      </xdr:txBody>
    </xdr:sp>
    <xdr:clientData/>
  </xdr:twoCellAnchor>
  <xdr:twoCellAnchor editAs="absolute">
    <xdr:from>
      <xdr:col>2</xdr:col>
      <xdr:colOff>323851</xdr:colOff>
      <xdr:row>10</xdr:row>
      <xdr:rowOff>161924</xdr:rowOff>
    </xdr:from>
    <xdr:to>
      <xdr:col>10</xdr:col>
      <xdr:colOff>571501</xdr:colOff>
      <xdr:row>24</xdr:row>
      <xdr:rowOff>133350</xdr:rowOff>
    </xdr:to>
    <xdr:sp macro="" textlink="">
      <xdr:nvSpPr>
        <xdr:cNvPr id="36" name="Rectangle: Rounded Corners 35">
          <a:extLst>
            <a:ext uri="{FF2B5EF4-FFF2-40B4-BE49-F238E27FC236}">
              <a16:creationId xmlns:a16="http://schemas.microsoft.com/office/drawing/2014/main" id="{00725518-4FA1-D87C-4EAE-F5291887EA8D}"/>
            </a:ext>
          </a:extLst>
        </xdr:cNvPr>
        <xdr:cNvSpPr/>
      </xdr:nvSpPr>
      <xdr:spPr>
        <a:xfrm>
          <a:off x="1543051" y="2066924"/>
          <a:ext cx="5124450" cy="2638426"/>
        </a:xfrm>
        <a:prstGeom prst="roundRect">
          <a:avLst>
            <a:gd name="adj" fmla="val 1127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400049</xdr:colOff>
      <xdr:row>12</xdr:row>
      <xdr:rowOff>9525</xdr:rowOff>
    </xdr:from>
    <xdr:to>
      <xdr:col>10</xdr:col>
      <xdr:colOff>409574</xdr:colOff>
      <xdr:row>23</xdr:row>
      <xdr:rowOff>161925</xdr:rowOff>
    </xdr:to>
    <xdr:graphicFrame macro="">
      <xdr:nvGraphicFramePr>
        <xdr:cNvPr id="37" name="Chart 36">
          <a:extLst>
            <a:ext uri="{FF2B5EF4-FFF2-40B4-BE49-F238E27FC236}">
              <a16:creationId xmlns:a16="http://schemas.microsoft.com/office/drawing/2014/main" id="{075B21CA-22BC-49D0-A87E-0E28E59E8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4</xdr:col>
      <xdr:colOff>571501</xdr:colOff>
      <xdr:row>11</xdr:row>
      <xdr:rowOff>9525</xdr:rowOff>
    </xdr:from>
    <xdr:to>
      <xdr:col>8</xdr:col>
      <xdr:colOff>381000</xdr:colOff>
      <xdr:row>12</xdr:row>
      <xdr:rowOff>152400</xdr:rowOff>
    </xdr:to>
    <xdr:sp macro="" textlink="'Pivot Tables'!A11">
      <xdr:nvSpPr>
        <xdr:cNvPr id="38" name="TextBox 37">
          <a:extLst>
            <a:ext uri="{FF2B5EF4-FFF2-40B4-BE49-F238E27FC236}">
              <a16:creationId xmlns:a16="http://schemas.microsoft.com/office/drawing/2014/main" id="{B1E096BF-34AC-A943-4517-078208ED0A99}"/>
            </a:ext>
          </a:extLst>
        </xdr:cNvPr>
        <xdr:cNvSpPr txBox="1"/>
      </xdr:nvSpPr>
      <xdr:spPr>
        <a:xfrm>
          <a:off x="3020787" y="2105025"/>
          <a:ext cx="2258784"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Member</a:t>
          </a:r>
          <a:r>
            <a:rPr lang="en-IN" sz="1200" b="1" baseline="0"/>
            <a:t> By Total </a:t>
          </a:r>
          <a:r>
            <a:rPr lang="en-IN" sz="1200" b="1"/>
            <a:t>Transactions</a:t>
          </a:r>
        </a:p>
      </xdr:txBody>
    </xdr:sp>
    <xdr:clientData/>
  </xdr:twoCellAnchor>
  <xdr:twoCellAnchor editAs="absolute">
    <xdr:from>
      <xdr:col>0</xdr:col>
      <xdr:colOff>28575</xdr:colOff>
      <xdr:row>24</xdr:row>
      <xdr:rowOff>171450</xdr:rowOff>
    </xdr:from>
    <xdr:to>
      <xdr:col>4</xdr:col>
      <xdr:colOff>38100</xdr:colOff>
      <xdr:row>37</xdr:row>
      <xdr:rowOff>76200</xdr:rowOff>
    </xdr:to>
    <xdr:sp macro="" textlink="">
      <xdr:nvSpPr>
        <xdr:cNvPr id="39" name="Rectangle: Rounded Corners 38">
          <a:extLst>
            <a:ext uri="{FF2B5EF4-FFF2-40B4-BE49-F238E27FC236}">
              <a16:creationId xmlns:a16="http://schemas.microsoft.com/office/drawing/2014/main" id="{1E20F3A8-7750-503E-12A2-4CC02D67808E}"/>
            </a:ext>
          </a:extLst>
        </xdr:cNvPr>
        <xdr:cNvSpPr/>
      </xdr:nvSpPr>
      <xdr:spPr>
        <a:xfrm>
          <a:off x="28575" y="4743450"/>
          <a:ext cx="2447925" cy="2381250"/>
        </a:xfrm>
        <a:prstGeom prst="roundRect">
          <a:avLst>
            <a:gd name="adj" fmla="val 1127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133350</xdr:colOff>
      <xdr:row>26</xdr:row>
      <xdr:rowOff>28575</xdr:rowOff>
    </xdr:from>
    <xdr:to>
      <xdr:col>4</xdr:col>
      <xdr:colOff>47625</xdr:colOff>
      <xdr:row>36</xdr:row>
      <xdr:rowOff>123825</xdr:rowOff>
    </xdr:to>
    <xdr:graphicFrame macro="">
      <xdr:nvGraphicFramePr>
        <xdr:cNvPr id="40" name="Chart 39">
          <a:extLst>
            <a:ext uri="{FF2B5EF4-FFF2-40B4-BE49-F238E27FC236}">
              <a16:creationId xmlns:a16="http://schemas.microsoft.com/office/drawing/2014/main" id="{1884F6FC-3645-4E6C-A302-84CD37FEF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0</xdr:col>
      <xdr:colOff>409576</xdr:colOff>
      <xdr:row>25</xdr:row>
      <xdr:rowOff>123825</xdr:rowOff>
    </xdr:from>
    <xdr:to>
      <xdr:col>3</xdr:col>
      <xdr:colOff>38100</xdr:colOff>
      <xdr:row>27</xdr:row>
      <xdr:rowOff>76200</xdr:rowOff>
    </xdr:to>
    <xdr:sp macro="" textlink="'Pivot Tables'!A11">
      <xdr:nvSpPr>
        <xdr:cNvPr id="41" name="TextBox 40">
          <a:extLst>
            <a:ext uri="{FF2B5EF4-FFF2-40B4-BE49-F238E27FC236}">
              <a16:creationId xmlns:a16="http://schemas.microsoft.com/office/drawing/2014/main" id="{E7ED993C-5450-4833-DF8D-028C8BBAC451}"/>
            </a:ext>
          </a:extLst>
        </xdr:cNvPr>
        <xdr:cNvSpPr txBox="1"/>
      </xdr:nvSpPr>
      <xdr:spPr>
        <a:xfrm>
          <a:off x="409576" y="4886325"/>
          <a:ext cx="1457324"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t>Return Book Status</a:t>
          </a:r>
          <a:endParaRPr lang="en-IN" sz="1200" b="1"/>
        </a:p>
      </xdr:txBody>
    </xdr:sp>
    <xdr:clientData/>
  </xdr:twoCellAnchor>
  <xdr:twoCellAnchor editAs="absolute">
    <xdr:from>
      <xdr:col>4</xdr:col>
      <xdr:colOff>76200</xdr:colOff>
      <xdr:row>25</xdr:row>
      <xdr:rowOff>9525</xdr:rowOff>
    </xdr:from>
    <xdr:to>
      <xdr:col>11</xdr:col>
      <xdr:colOff>38100</xdr:colOff>
      <xdr:row>37</xdr:row>
      <xdr:rowOff>104775</xdr:rowOff>
    </xdr:to>
    <xdr:sp macro="" textlink="">
      <xdr:nvSpPr>
        <xdr:cNvPr id="42" name="Rectangle: Rounded Corners 41">
          <a:extLst>
            <a:ext uri="{FF2B5EF4-FFF2-40B4-BE49-F238E27FC236}">
              <a16:creationId xmlns:a16="http://schemas.microsoft.com/office/drawing/2014/main" id="{41A84579-F19B-A2E8-085E-A8B2934F52E3}"/>
            </a:ext>
          </a:extLst>
        </xdr:cNvPr>
        <xdr:cNvSpPr/>
      </xdr:nvSpPr>
      <xdr:spPr>
        <a:xfrm>
          <a:off x="2514600" y="4772025"/>
          <a:ext cx="4229100" cy="2381250"/>
        </a:xfrm>
        <a:prstGeom prst="roundRect">
          <a:avLst>
            <a:gd name="adj" fmla="val 1127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228600</xdr:colOff>
      <xdr:row>26</xdr:row>
      <xdr:rowOff>114301</xdr:rowOff>
    </xdr:from>
    <xdr:to>
      <xdr:col>10</xdr:col>
      <xdr:colOff>561975</xdr:colOff>
      <xdr:row>37</xdr:row>
      <xdr:rowOff>9525</xdr:rowOff>
    </xdr:to>
    <xdr:graphicFrame macro="">
      <xdr:nvGraphicFramePr>
        <xdr:cNvPr id="43" name="Chart 42">
          <a:extLst>
            <a:ext uri="{FF2B5EF4-FFF2-40B4-BE49-F238E27FC236}">
              <a16:creationId xmlns:a16="http://schemas.microsoft.com/office/drawing/2014/main" id="{B3117EB9-9C86-41C2-B485-8496A8CEB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6</xdr:col>
      <xdr:colOff>266700</xdr:colOff>
      <xdr:row>25</xdr:row>
      <xdr:rowOff>38100</xdr:rowOff>
    </xdr:from>
    <xdr:to>
      <xdr:col>9</xdr:col>
      <xdr:colOff>27213</xdr:colOff>
      <xdr:row>26</xdr:row>
      <xdr:rowOff>180975</xdr:rowOff>
    </xdr:to>
    <xdr:sp macro="" textlink="'Pivot Tables'!A11">
      <xdr:nvSpPr>
        <xdr:cNvPr id="44" name="TextBox 43">
          <a:extLst>
            <a:ext uri="{FF2B5EF4-FFF2-40B4-BE49-F238E27FC236}">
              <a16:creationId xmlns:a16="http://schemas.microsoft.com/office/drawing/2014/main" id="{715AA2C6-1F32-AAA3-DE13-3BB817779F59}"/>
            </a:ext>
          </a:extLst>
        </xdr:cNvPr>
        <xdr:cNvSpPr txBox="1"/>
      </xdr:nvSpPr>
      <xdr:spPr>
        <a:xfrm>
          <a:off x="3940629" y="4800600"/>
          <a:ext cx="1597477"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t>Book By </a:t>
          </a:r>
          <a:r>
            <a:rPr lang="en-IN" sz="1200" b="1"/>
            <a:t>Transactions</a:t>
          </a:r>
        </a:p>
      </xdr:txBody>
    </xdr:sp>
    <xdr:clientData/>
  </xdr:twoCellAnchor>
  <xdr:twoCellAnchor editAs="absolute">
    <xdr:from>
      <xdr:col>11</xdr:col>
      <xdr:colOff>76200</xdr:colOff>
      <xdr:row>25</xdr:row>
      <xdr:rowOff>66674</xdr:rowOff>
    </xdr:from>
    <xdr:to>
      <xdr:col>20</xdr:col>
      <xdr:colOff>219075</xdr:colOff>
      <xdr:row>37</xdr:row>
      <xdr:rowOff>171450</xdr:rowOff>
    </xdr:to>
    <xdr:sp macro="" textlink="">
      <xdr:nvSpPr>
        <xdr:cNvPr id="45" name="Rectangle: Rounded Corners 44">
          <a:extLst>
            <a:ext uri="{FF2B5EF4-FFF2-40B4-BE49-F238E27FC236}">
              <a16:creationId xmlns:a16="http://schemas.microsoft.com/office/drawing/2014/main" id="{CC22996C-5A22-7EA2-EF8D-1E1EB8283BD8}"/>
            </a:ext>
          </a:extLst>
        </xdr:cNvPr>
        <xdr:cNvSpPr/>
      </xdr:nvSpPr>
      <xdr:spPr>
        <a:xfrm>
          <a:off x="6781800" y="4829174"/>
          <a:ext cx="5629275" cy="2390776"/>
        </a:xfrm>
        <a:prstGeom prst="roundRect">
          <a:avLst>
            <a:gd name="adj" fmla="val 1127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257174</xdr:colOff>
      <xdr:row>27</xdr:row>
      <xdr:rowOff>28574</xdr:rowOff>
    </xdr:from>
    <xdr:to>
      <xdr:col>20</xdr:col>
      <xdr:colOff>19050</xdr:colOff>
      <xdr:row>37</xdr:row>
      <xdr:rowOff>47625</xdr:rowOff>
    </xdr:to>
    <xdr:graphicFrame macro="">
      <xdr:nvGraphicFramePr>
        <xdr:cNvPr id="46" name="Chart 45">
          <a:extLst>
            <a:ext uri="{FF2B5EF4-FFF2-40B4-BE49-F238E27FC236}">
              <a16:creationId xmlns:a16="http://schemas.microsoft.com/office/drawing/2014/main" id="{94889AA0-E011-437E-910B-208191AB5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14</xdr:col>
      <xdr:colOff>219076</xdr:colOff>
      <xdr:row>26</xdr:row>
      <xdr:rowOff>9525</xdr:rowOff>
    </xdr:from>
    <xdr:to>
      <xdr:col>17</xdr:col>
      <xdr:colOff>114300</xdr:colOff>
      <xdr:row>27</xdr:row>
      <xdr:rowOff>152400</xdr:rowOff>
    </xdr:to>
    <xdr:sp macro="" textlink="'Pivot Tables'!A11">
      <xdr:nvSpPr>
        <xdr:cNvPr id="47" name="TextBox 46">
          <a:extLst>
            <a:ext uri="{FF2B5EF4-FFF2-40B4-BE49-F238E27FC236}">
              <a16:creationId xmlns:a16="http://schemas.microsoft.com/office/drawing/2014/main" id="{8DFF0D1B-8D7D-E5F9-CA18-5541C9361377}"/>
            </a:ext>
          </a:extLst>
        </xdr:cNvPr>
        <xdr:cNvSpPr txBox="1"/>
      </xdr:nvSpPr>
      <xdr:spPr>
        <a:xfrm>
          <a:off x="8753476" y="4962525"/>
          <a:ext cx="1724024"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t>Category by Total Book</a:t>
          </a:r>
          <a:endParaRPr lang="en-IN" sz="12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i" refreshedDate="46311.325380902781" createdVersion="8" refreshedVersion="8" minRefreshableVersion="3" recordCount="120" xr:uid="{43E8C1E8-A291-4D68-9AAB-4B41B4B24CAD}">
  <cacheSource type="worksheet">
    <worksheetSource name="Data"/>
  </cacheSource>
  <cacheFields count="14">
    <cacheField name="Transaction ID" numFmtId="0">
      <sharedItems containsSemiMixedTypes="0" containsString="0" containsNumber="1" containsInteger="1" minValue="5001" maxValue="5120" count="12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sharedItems>
    </cacheField>
    <cacheField name="Book ID" numFmtId="0">
      <sharedItems containsSemiMixedTypes="0" containsString="0" containsNumber="1" containsInteger="1" minValue="101" maxValue="120"/>
    </cacheField>
    <cacheField name="Book Title" numFmtId="0">
      <sharedItems count="20">
        <s v="Wings of Fire"/>
        <s v="Sapiens"/>
        <s v="The Psychology of Money"/>
        <s v="Rich Dad Poor Dad"/>
        <s v="Think and Grow Rich"/>
        <s v="The Power of Now"/>
        <s v="Harry Potter and the Philosopher's Stone"/>
        <s v="Clean Code"/>
        <s v="Pride and Prejudice"/>
        <s v="Ikigai"/>
        <s v="To Kill a Mockingbird"/>
        <s v="The Great Gatsby"/>
        <s v="India After Gandhi"/>
        <s v="Introduction to Algorithms"/>
        <s v="Python Crash Course"/>
        <s v="The Hobbit"/>
        <s v="The Blue Umbrella"/>
        <s v="The Alchemist"/>
        <s v="The Discovery of India"/>
        <s v="Atomic Habits"/>
      </sharedItems>
    </cacheField>
    <cacheField name="Author" numFmtId="0">
      <sharedItems count="20">
        <s v="A. P. J. Abdul Kalam"/>
        <s v="Yuval Noah Harari"/>
        <s v="Morgan Housel"/>
        <s v="Robert T. Kiyosaki"/>
        <s v="Napoleon Hill"/>
        <s v="Eckhart Tolle"/>
        <s v="J. K. Rowling"/>
        <s v="Robert C. Martin"/>
        <s v="Jane Austen"/>
        <s v="Héctor García and Francesc Miralles"/>
        <s v="Harper Lee"/>
        <s v="F. Scott Fitzgerald"/>
        <s v="Ramachandra Guha"/>
        <s v="Thomas H. Cormen et al."/>
        <s v="Eric Matthes"/>
        <s v="J. R. R. Tolkien"/>
        <s v="Ruskin Bond"/>
        <s v="Paulo Coelho"/>
        <s v="Jawaharlal Nehru"/>
        <s v="James Clear"/>
      </sharedItems>
    </cacheField>
    <cacheField name="Category" numFmtId="0">
      <sharedItems count="9">
        <s v="Biography"/>
        <s v="History"/>
        <s v="Finance"/>
        <s v="Self-help"/>
        <s v="Fantasy"/>
        <s v="Technology"/>
        <s v="Classic"/>
        <s v="Children"/>
        <s v="Fiction"/>
      </sharedItems>
    </cacheField>
    <cacheField name="Member ID" numFmtId="0">
      <sharedItems containsSemiMixedTypes="0" containsString="0" containsNumber="1" containsInteger="1" minValue="2001" maxValue="2020"/>
    </cacheField>
    <cacheField name="Member Name" numFmtId="0">
      <sharedItems count="20">
        <s v="Aarav Shah"/>
        <s v="Anaya Desai"/>
        <s v="Advik Shah"/>
        <s v="Kiara Bhatt"/>
        <s v="Krish Solanki"/>
        <s v="Kabir Modi"/>
        <s v="Sara Merchant"/>
        <s v="Vivaan Mehta"/>
        <s v="Saanvi Trivedi"/>
        <s v="Arjun Vyas"/>
        <s v="Navya Dave"/>
        <s v="Rudra Gohil"/>
        <s v="Diya Patel"/>
        <s v="Reyansh Joshi"/>
        <s v="Aadhya Rana"/>
        <s v="Dhruv Patel"/>
        <s v="Anvi Thakkar"/>
        <s v="Myra Parmar"/>
        <s v="Ishaan Pandya"/>
        <s v="Pari Shah"/>
      </sharedItems>
    </cacheField>
    <cacheField name="Member Type" numFmtId="0">
      <sharedItems count="3">
        <s v="Student"/>
        <s v="Faculty"/>
        <s v="Staff"/>
      </sharedItems>
    </cacheField>
    <cacheField name="Department" numFmtId="0">
      <sharedItems count="10">
        <s v="Science"/>
        <s v="Arts"/>
        <s v="Mathematics"/>
        <s v="Library Services"/>
        <s v="History"/>
        <s v="Computer Science"/>
        <s v="Commerce"/>
        <s v="Administration"/>
        <s v="English"/>
        <s v="IT Support"/>
      </sharedItems>
    </cacheField>
    <cacheField name="Issue Date" numFmtId="14">
      <sharedItems containsSemiMixedTypes="0" containsNonDate="0" containsDate="1" containsString="0" minDate="2026-01-01T00:00:00" maxDate="2026-09-13T00:00:00" count="120">
        <d v="2026-01-01T00:00:00"/>
        <d v="2026-01-06T00:00:00"/>
        <d v="2026-01-11T00:00:00"/>
        <d v="2026-01-16T00:00:00"/>
        <d v="2026-01-21T00:00:00"/>
        <d v="2026-01-26T00:00:00"/>
        <d v="2026-01-31T00:00:00"/>
        <d v="2026-01-15T00:00:00"/>
        <d v="2026-01-20T00:00:00"/>
        <d v="2026-01-25T00:00:00"/>
        <d v="2026-01-30T00:00:00"/>
        <d v="2026-02-04T00:00:00"/>
        <d v="2026-02-09T00:00:00"/>
        <d v="2026-02-14T00:00:00"/>
        <d v="2026-01-29T00:00:00"/>
        <d v="2026-02-03T00:00:00"/>
        <d v="2026-02-08T00:00:00"/>
        <d v="2026-02-13T00:00:00"/>
        <d v="2026-02-18T00:00:00"/>
        <d v="2026-02-23T00:00:00"/>
        <d v="2026-02-28T00:00:00"/>
        <d v="2026-02-12T00:00:00"/>
        <d v="2026-02-17T00:00:00"/>
        <d v="2026-02-22T00:00:00"/>
        <d v="2026-02-27T00:00:00"/>
        <d v="2026-03-04T00:00:00"/>
        <d v="2026-03-09T00:00:00"/>
        <d v="2026-03-14T00:00:00"/>
        <d v="2026-02-26T00:00:00"/>
        <d v="2026-03-03T00:00:00"/>
        <d v="2026-03-08T00:00:00"/>
        <d v="2026-03-13T00:00:00"/>
        <d v="2026-03-18T00:00:00"/>
        <d v="2026-03-23T00:00:00"/>
        <d v="2026-03-28T00:00:00"/>
        <d v="2026-03-12T00:00:00"/>
        <d v="2026-03-17T00:00:00"/>
        <d v="2026-03-22T00:00:00"/>
        <d v="2026-03-27T00:00:00"/>
        <d v="2026-04-01T00:00:00"/>
        <d v="2026-04-06T00:00:00"/>
        <d v="2026-04-11T00:00:00"/>
        <d v="2026-03-26T00:00:00"/>
        <d v="2026-03-31T00:00:00"/>
        <d v="2026-04-05T00:00:00"/>
        <d v="2026-04-10T00:00:00"/>
        <d v="2026-04-15T00:00:00"/>
        <d v="2026-04-20T00:00:00"/>
        <d v="2026-04-25T00:00:00"/>
        <d v="2026-04-09T00:00:00"/>
        <d v="2026-04-14T00:00:00"/>
        <d v="2026-04-19T00:00:00"/>
        <d v="2026-04-24T00:00:00"/>
        <d v="2026-04-29T00:00:00"/>
        <d v="2026-05-04T00:00:00"/>
        <d v="2026-05-09T00:00:00"/>
        <d v="2026-04-23T00:00:00"/>
        <d v="2026-04-28T00:00:00"/>
        <d v="2026-05-03T00:00:00"/>
        <d v="2026-05-08T00:00:00"/>
        <d v="2026-05-13T00:00:00"/>
        <d v="2026-05-18T00:00:00"/>
        <d v="2026-05-23T00:00:00"/>
        <d v="2026-05-07T00:00:00"/>
        <d v="2026-05-12T00:00:00"/>
        <d v="2026-05-17T00:00:00"/>
        <d v="2026-05-22T00:00:00"/>
        <d v="2026-05-27T00:00:00"/>
        <d v="2026-06-01T00:00:00"/>
        <d v="2026-06-06T00:00:00"/>
        <d v="2026-05-21T00:00:00"/>
        <d v="2026-05-26T00:00:00"/>
        <d v="2026-05-31T00:00:00"/>
        <d v="2026-06-05T00:00:00"/>
        <d v="2026-06-10T00:00:00"/>
        <d v="2026-06-15T00:00:00"/>
        <d v="2026-06-20T00:00:00"/>
        <d v="2026-06-04T00:00:00"/>
        <d v="2026-06-09T00:00:00"/>
        <d v="2026-06-14T00:00:00"/>
        <d v="2026-06-19T00:00:00"/>
        <d v="2026-06-24T00:00:00"/>
        <d v="2026-06-29T00:00:00"/>
        <d v="2026-07-04T00:00:00"/>
        <d v="2026-06-18T00:00:00"/>
        <d v="2026-06-23T00:00:00"/>
        <d v="2026-06-28T00:00:00"/>
        <d v="2026-07-03T00:00:00"/>
        <d v="2026-07-08T00:00:00"/>
        <d v="2026-07-13T00:00:00"/>
        <d v="2026-07-18T00:00:00"/>
        <d v="2026-07-02T00:00:00"/>
        <d v="2026-07-07T00:00:00"/>
        <d v="2026-07-12T00:00:00"/>
        <d v="2026-07-17T00:00:00"/>
        <d v="2026-07-22T00:00:00"/>
        <d v="2026-07-27T00:00:00"/>
        <d v="2026-08-01T00:00:00"/>
        <d v="2026-07-16T00:00:00"/>
        <d v="2026-07-21T00:00:00"/>
        <d v="2026-07-26T00:00:00"/>
        <d v="2026-07-31T00:00:00"/>
        <d v="2026-08-05T00:00:00"/>
        <d v="2026-08-10T00:00:00"/>
        <d v="2026-08-15T00:00:00"/>
        <d v="2026-07-30T00:00:00"/>
        <d v="2026-08-04T00:00:00"/>
        <d v="2026-08-09T00:00:00"/>
        <d v="2026-08-14T00:00:00"/>
        <d v="2026-08-19T00:00:00"/>
        <d v="2026-08-24T00:00:00"/>
        <d v="2026-08-29T00:00:00"/>
        <d v="2026-08-13T00:00:00"/>
        <d v="2026-08-18T00:00:00"/>
        <d v="2026-08-23T00:00:00"/>
        <d v="2026-08-28T00:00:00"/>
        <d v="2026-09-02T00:00:00"/>
        <d v="2026-09-07T00:00:00"/>
        <d v="2026-09-12T00:00:00"/>
        <d v="2026-08-27T00:00:00"/>
      </sharedItems>
    </cacheField>
    <cacheField name="Due Date" numFmtId="14">
      <sharedItems containsSemiMixedTypes="0" containsNonDate="0" containsDate="1" containsString="0" minDate="2026-01-08T00:00:00" maxDate="2026-10-13T00:00:00"/>
    </cacheField>
    <cacheField name="Return Date" numFmtId="14">
      <sharedItems containsSemiMixedTypes="0" containsNonDate="0" containsDate="1" containsString="0" minDate="2026-01-08T00:00:00" maxDate="2026-10-22T00:00:00"/>
    </cacheField>
    <cacheField name="Days " numFmtId="1">
      <sharedItems containsSemiMixedTypes="0" containsString="0" containsNumber="1" containsInteger="1" minValue="7" maxValue="30"/>
    </cacheField>
    <cacheField name="Return Book" numFmtId="14">
      <sharedItems count="2">
        <s v="Return Book"/>
        <s v="Late Return"/>
      </sharedItems>
    </cacheField>
  </cacheFields>
  <extLst>
    <ext xmlns:x14="http://schemas.microsoft.com/office/spreadsheetml/2009/9/main" uri="{725AE2AE-9491-48be-B2B4-4EB974FC3084}">
      <x14:pivotCacheDefinition pivotCacheId="7493443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n v="101"/>
    <x v="0"/>
    <x v="0"/>
    <x v="0"/>
    <n v="2001"/>
    <x v="0"/>
    <x v="0"/>
    <x v="0"/>
    <x v="0"/>
    <d v="2026-01-08T00:00:00"/>
    <d v="2026-01-08T00:00:00"/>
    <n v="7"/>
    <x v="0"/>
  </r>
  <r>
    <x v="1"/>
    <n v="108"/>
    <x v="1"/>
    <x v="1"/>
    <x v="1"/>
    <n v="2004"/>
    <x v="1"/>
    <x v="0"/>
    <x v="1"/>
    <x v="1"/>
    <d v="2026-01-20T00:00:00"/>
    <d v="2026-01-19T00:00:00"/>
    <n v="14"/>
    <x v="1"/>
  </r>
  <r>
    <x v="2"/>
    <n v="115"/>
    <x v="2"/>
    <x v="2"/>
    <x v="2"/>
    <n v="2007"/>
    <x v="2"/>
    <x v="1"/>
    <x v="2"/>
    <x v="2"/>
    <d v="2026-01-25T00:00:00"/>
    <d v="2026-01-23T00:00:00"/>
    <n v="14"/>
    <x v="1"/>
  </r>
  <r>
    <x v="3"/>
    <n v="103"/>
    <x v="3"/>
    <x v="3"/>
    <x v="2"/>
    <n v="2010"/>
    <x v="3"/>
    <x v="2"/>
    <x v="3"/>
    <x v="3"/>
    <d v="2026-02-06T00:00:00"/>
    <d v="2026-02-03T00:00:00"/>
    <n v="21"/>
    <x v="1"/>
  </r>
  <r>
    <x v="4"/>
    <n v="110"/>
    <x v="4"/>
    <x v="4"/>
    <x v="2"/>
    <n v="2013"/>
    <x v="4"/>
    <x v="0"/>
    <x v="1"/>
    <x v="4"/>
    <d v="2026-02-04T00:00:00"/>
    <d v="2026-01-31T00:00:00"/>
    <n v="14"/>
    <x v="1"/>
  </r>
  <r>
    <x v="5"/>
    <n v="117"/>
    <x v="5"/>
    <x v="5"/>
    <x v="3"/>
    <n v="2017"/>
    <x v="5"/>
    <x v="1"/>
    <x v="4"/>
    <x v="5"/>
    <d v="2026-02-02T00:00:00"/>
    <d v="2026-02-03T00:00:00"/>
    <n v="7"/>
    <x v="1"/>
  </r>
  <r>
    <x v="6"/>
    <n v="105"/>
    <x v="6"/>
    <x v="6"/>
    <x v="4"/>
    <n v="2020"/>
    <x v="6"/>
    <x v="0"/>
    <x v="1"/>
    <x v="6"/>
    <d v="2026-03-02T00:00:00"/>
    <d v="2026-03-06T00:00:00"/>
    <n v="30"/>
    <x v="1"/>
  </r>
  <r>
    <x v="7"/>
    <n v="112"/>
    <x v="7"/>
    <x v="7"/>
    <x v="5"/>
    <n v="2003"/>
    <x v="7"/>
    <x v="1"/>
    <x v="5"/>
    <x v="7"/>
    <d v="2026-01-22T00:00:00"/>
    <d v="2026-01-27T00:00:00"/>
    <n v="7"/>
    <x v="1"/>
  </r>
  <r>
    <x v="8"/>
    <n v="119"/>
    <x v="8"/>
    <x v="8"/>
    <x v="6"/>
    <n v="2006"/>
    <x v="8"/>
    <x v="0"/>
    <x v="5"/>
    <x v="8"/>
    <d v="2026-02-03T00:00:00"/>
    <d v="2026-02-08T00:00:00"/>
    <n v="14"/>
    <x v="1"/>
  </r>
  <r>
    <x v="9"/>
    <n v="107"/>
    <x v="9"/>
    <x v="9"/>
    <x v="3"/>
    <n v="2009"/>
    <x v="9"/>
    <x v="0"/>
    <x v="6"/>
    <x v="9"/>
    <d v="2026-02-08T00:00:00"/>
    <d v="2026-02-18T00:00:00"/>
    <n v="14"/>
    <x v="1"/>
  </r>
  <r>
    <x v="10"/>
    <n v="114"/>
    <x v="10"/>
    <x v="10"/>
    <x v="6"/>
    <n v="2013"/>
    <x v="4"/>
    <x v="0"/>
    <x v="1"/>
    <x v="10"/>
    <d v="2026-02-20T00:00:00"/>
    <d v="2026-02-21T00:00:00"/>
    <n v="21"/>
    <x v="1"/>
  </r>
  <r>
    <x v="11"/>
    <n v="101"/>
    <x v="0"/>
    <x v="0"/>
    <x v="0"/>
    <n v="2016"/>
    <x v="10"/>
    <x v="0"/>
    <x v="6"/>
    <x v="11"/>
    <d v="2026-02-18T00:00:00"/>
    <d v="2026-02-17T00:00:00"/>
    <n v="14"/>
    <x v="1"/>
  </r>
  <r>
    <x v="12"/>
    <n v="109"/>
    <x v="11"/>
    <x v="11"/>
    <x v="6"/>
    <n v="2019"/>
    <x v="11"/>
    <x v="0"/>
    <x v="0"/>
    <x v="12"/>
    <d v="2026-02-16T00:00:00"/>
    <d v="2026-02-14T00:00:00"/>
    <n v="7"/>
    <x v="1"/>
  </r>
  <r>
    <x v="13"/>
    <n v="116"/>
    <x v="12"/>
    <x v="12"/>
    <x v="1"/>
    <n v="2002"/>
    <x v="12"/>
    <x v="0"/>
    <x v="6"/>
    <x v="13"/>
    <d v="2026-03-16T00:00:00"/>
    <d v="2026-03-13T00:00:00"/>
    <n v="30"/>
    <x v="1"/>
  </r>
  <r>
    <x v="14"/>
    <n v="103"/>
    <x v="3"/>
    <x v="3"/>
    <x v="2"/>
    <n v="2005"/>
    <x v="13"/>
    <x v="2"/>
    <x v="7"/>
    <x v="14"/>
    <d v="2026-02-05T00:00:00"/>
    <d v="2026-02-01T00:00:00"/>
    <n v="7"/>
    <x v="1"/>
  </r>
  <r>
    <x v="15"/>
    <n v="111"/>
    <x v="13"/>
    <x v="13"/>
    <x v="5"/>
    <n v="2009"/>
    <x v="9"/>
    <x v="0"/>
    <x v="6"/>
    <x v="15"/>
    <d v="2026-02-17T00:00:00"/>
    <d v="2026-02-18T00:00:00"/>
    <n v="14"/>
    <x v="1"/>
  </r>
  <r>
    <x v="16"/>
    <n v="118"/>
    <x v="14"/>
    <x v="14"/>
    <x v="5"/>
    <n v="2012"/>
    <x v="14"/>
    <x v="1"/>
    <x v="8"/>
    <x v="16"/>
    <d v="2026-02-22T00:00:00"/>
    <d v="2026-02-23T00:00:00"/>
    <n v="14"/>
    <x v="1"/>
  </r>
  <r>
    <x v="17"/>
    <n v="105"/>
    <x v="6"/>
    <x v="6"/>
    <x v="4"/>
    <n v="2015"/>
    <x v="15"/>
    <x v="2"/>
    <x v="9"/>
    <x v="17"/>
    <d v="2026-03-06T00:00:00"/>
    <d v="2026-03-07T00:00:00"/>
    <n v="21"/>
    <x v="1"/>
  </r>
  <r>
    <x v="18"/>
    <n v="113"/>
    <x v="15"/>
    <x v="15"/>
    <x v="4"/>
    <n v="2018"/>
    <x v="16"/>
    <x v="0"/>
    <x v="5"/>
    <x v="18"/>
    <d v="2026-03-04T00:00:00"/>
    <d v="2026-03-05T00:00:00"/>
    <n v="14"/>
    <x v="1"/>
  </r>
  <r>
    <x v="19"/>
    <n v="120"/>
    <x v="16"/>
    <x v="16"/>
    <x v="7"/>
    <n v="2001"/>
    <x v="0"/>
    <x v="0"/>
    <x v="0"/>
    <x v="19"/>
    <d v="2026-03-02T00:00:00"/>
    <d v="2026-03-03T00:00:00"/>
    <n v="7"/>
    <x v="1"/>
  </r>
  <r>
    <x v="20"/>
    <n v="107"/>
    <x v="9"/>
    <x v="9"/>
    <x v="3"/>
    <n v="2005"/>
    <x v="13"/>
    <x v="2"/>
    <x v="7"/>
    <x v="20"/>
    <d v="2026-03-30T00:00:00"/>
    <d v="2026-03-30T00:00:00"/>
    <n v="30"/>
    <x v="0"/>
  </r>
  <r>
    <x v="21"/>
    <n v="115"/>
    <x v="2"/>
    <x v="2"/>
    <x v="2"/>
    <n v="2008"/>
    <x v="17"/>
    <x v="0"/>
    <x v="0"/>
    <x v="21"/>
    <d v="2026-02-19T00:00:00"/>
    <d v="2026-02-18T00:00:00"/>
    <n v="7"/>
    <x v="1"/>
  </r>
  <r>
    <x v="22"/>
    <n v="102"/>
    <x v="17"/>
    <x v="17"/>
    <x v="8"/>
    <n v="2011"/>
    <x v="18"/>
    <x v="0"/>
    <x v="5"/>
    <x v="22"/>
    <d v="2026-03-03T00:00:00"/>
    <d v="2026-03-01T00:00:00"/>
    <n v="14"/>
    <x v="1"/>
  </r>
  <r>
    <x v="23"/>
    <n v="109"/>
    <x v="11"/>
    <x v="11"/>
    <x v="6"/>
    <n v="2014"/>
    <x v="19"/>
    <x v="0"/>
    <x v="0"/>
    <x v="23"/>
    <d v="2026-03-08T00:00:00"/>
    <d v="2026-03-05T00:00:00"/>
    <n v="14"/>
    <x v="1"/>
  </r>
  <r>
    <x v="24"/>
    <n v="117"/>
    <x v="5"/>
    <x v="5"/>
    <x v="3"/>
    <n v="2017"/>
    <x v="5"/>
    <x v="1"/>
    <x v="4"/>
    <x v="24"/>
    <d v="2026-03-20T00:00:00"/>
    <d v="2026-03-16T00:00:00"/>
    <n v="21"/>
    <x v="1"/>
  </r>
  <r>
    <x v="25"/>
    <n v="104"/>
    <x v="18"/>
    <x v="18"/>
    <x v="1"/>
    <n v="2001"/>
    <x v="0"/>
    <x v="0"/>
    <x v="0"/>
    <x v="25"/>
    <d v="2026-03-18T00:00:00"/>
    <d v="2026-03-18T00:00:00"/>
    <n v="14"/>
    <x v="0"/>
  </r>
  <r>
    <x v="26"/>
    <n v="111"/>
    <x v="13"/>
    <x v="13"/>
    <x v="5"/>
    <n v="2004"/>
    <x v="1"/>
    <x v="0"/>
    <x v="1"/>
    <x v="26"/>
    <d v="2026-03-16T00:00:00"/>
    <d v="2026-03-18T00:00:00"/>
    <n v="7"/>
    <x v="1"/>
  </r>
  <r>
    <x v="27"/>
    <n v="119"/>
    <x v="8"/>
    <x v="8"/>
    <x v="6"/>
    <n v="2007"/>
    <x v="2"/>
    <x v="1"/>
    <x v="2"/>
    <x v="27"/>
    <d v="2026-04-13T00:00:00"/>
    <d v="2026-03-19T00:00:00"/>
    <n v="30"/>
    <x v="1"/>
  </r>
  <r>
    <x v="28"/>
    <n v="106"/>
    <x v="19"/>
    <x v="19"/>
    <x v="3"/>
    <n v="2010"/>
    <x v="3"/>
    <x v="2"/>
    <x v="3"/>
    <x v="28"/>
    <d v="2026-03-05T00:00:00"/>
    <d v="2026-03-20T00:00:00"/>
    <n v="7"/>
    <x v="1"/>
  </r>
  <r>
    <x v="29"/>
    <n v="113"/>
    <x v="15"/>
    <x v="15"/>
    <x v="4"/>
    <n v="2013"/>
    <x v="4"/>
    <x v="0"/>
    <x v="1"/>
    <x v="29"/>
    <d v="2026-03-17T00:00:00"/>
    <d v="2026-03-21T00:00:00"/>
    <n v="14"/>
    <x v="1"/>
  </r>
  <r>
    <x v="30"/>
    <n v="101"/>
    <x v="0"/>
    <x v="0"/>
    <x v="0"/>
    <n v="2017"/>
    <x v="5"/>
    <x v="1"/>
    <x v="4"/>
    <x v="30"/>
    <d v="2026-03-22T00:00:00"/>
    <d v="2026-03-22T00:00:00"/>
    <n v="14"/>
    <x v="0"/>
  </r>
  <r>
    <x v="31"/>
    <n v="108"/>
    <x v="1"/>
    <x v="1"/>
    <x v="1"/>
    <n v="2020"/>
    <x v="6"/>
    <x v="0"/>
    <x v="1"/>
    <x v="31"/>
    <d v="2026-04-03T00:00:00"/>
    <d v="2026-04-02T00:00:00"/>
    <n v="21"/>
    <x v="1"/>
  </r>
  <r>
    <x v="32"/>
    <n v="115"/>
    <x v="2"/>
    <x v="2"/>
    <x v="2"/>
    <n v="2003"/>
    <x v="7"/>
    <x v="1"/>
    <x v="5"/>
    <x v="32"/>
    <d v="2026-04-01T00:00:00"/>
    <d v="2026-03-30T00:00:00"/>
    <n v="14"/>
    <x v="1"/>
  </r>
  <r>
    <x v="33"/>
    <n v="103"/>
    <x v="3"/>
    <x v="3"/>
    <x v="2"/>
    <n v="2006"/>
    <x v="8"/>
    <x v="0"/>
    <x v="5"/>
    <x v="33"/>
    <d v="2026-03-30T00:00:00"/>
    <d v="2026-03-27T00:00:00"/>
    <n v="7"/>
    <x v="1"/>
  </r>
  <r>
    <x v="34"/>
    <n v="110"/>
    <x v="4"/>
    <x v="4"/>
    <x v="2"/>
    <n v="2009"/>
    <x v="9"/>
    <x v="0"/>
    <x v="6"/>
    <x v="34"/>
    <d v="2026-04-27T00:00:00"/>
    <d v="2026-04-23T00:00:00"/>
    <n v="30"/>
    <x v="1"/>
  </r>
  <r>
    <x v="35"/>
    <n v="117"/>
    <x v="5"/>
    <x v="5"/>
    <x v="3"/>
    <n v="2013"/>
    <x v="4"/>
    <x v="0"/>
    <x v="1"/>
    <x v="35"/>
    <d v="2026-03-19T00:00:00"/>
    <d v="2026-03-20T00:00:00"/>
    <n v="7"/>
    <x v="1"/>
  </r>
  <r>
    <x v="36"/>
    <n v="105"/>
    <x v="6"/>
    <x v="6"/>
    <x v="4"/>
    <n v="2016"/>
    <x v="10"/>
    <x v="0"/>
    <x v="6"/>
    <x v="36"/>
    <d v="2026-03-31T00:00:00"/>
    <d v="2026-03-31T00:00:00"/>
    <n v="14"/>
    <x v="0"/>
  </r>
  <r>
    <x v="37"/>
    <n v="112"/>
    <x v="7"/>
    <x v="7"/>
    <x v="5"/>
    <n v="2019"/>
    <x v="11"/>
    <x v="0"/>
    <x v="0"/>
    <x v="37"/>
    <d v="2026-04-05T00:00:00"/>
    <d v="2026-04-05T00:00:00"/>
    <n v="14"/>
    <x v="0"/>
  </r>
  <r>
    <x v="38"/>
    <n v="119"/>
    <x v="8"/>
    <x v="8"/>
    <x v="6"/>
    <n v="2002"/>
    <x v="12"/>
    <x v="0"/>
    <x v="6"/>
    <x v="38"/>
    <d v="2026-04-17T00:00:00"/>
    <d v="2026-04-17T00:00:00"/>
    <n v="21"/>
    <x v="0"/>
  </r>
  <r>
    <x v="39"/>
    <n v="107"/>
    <x v="9"/>
    <x v="9"/>
    <x v="3"/>
    <n v="2005"/>
    <x v="13"/>
    <x v="2"/>
    <x v="7"/>
    <x v="39"/>
    <d v="2026-04-15T00:00:00"/>
    <d v="2026-04-15T00:00:00"/>
    <n v="14"/>
    <x v="0"/>
  </r>
  <r>
    <x v="40"/>
    <n v="114"/>
    <x v="10"/>
    <x v="10"/>
    <x v="6"/>
    <n v="2009"/>
    <x v="9"/>
    <x v="0"/>
    <x v="6"/>
    <x v="40"/>
    <d v="2026-04-13T00:00:00"/>
    <d v="2026-04-13T00:00:00"/>
    <n v="7"/>
    <x v="0"/>
  </r>
  <r>
    <x v="41"/>
    <n v="101"/>
    <x v="0"/>
    <x v="0"/>
    <x v="0"/>
    <n v="2012"/>
    <x v="14"/>
    <x v="1"/>
    <x v="8"/>
    <x v="41"/>
    <d v="2026-05-11T00:00:00"/>
    <d v="2026-05-10T00:00:00"/>
    <n v="30"/>
    <x v="1"/>
  </r>
  <r>
    <x v="42"/>
    <n v="109"/>
    <x v="11"/>
    <x v="11"/>
    <x v="6"/>
    <n v="2015"/>
    <x v="15"/>
    <x v="2"/>
    <x v="9"/>
    <x v="42"/>
    <d v="2026-04-02T00:00:00"/>
    <d v="2026-03-31T00:00:00"/>
    <n v="7"/>
    <x v="1"/>
  </r>
  <r>
    <x v="43"/>
    <n v="116"/>
    <x v="12"/>
    <x v="12"/>
    <x v="1"/>
    <n v="2018"/>
    <x v="16"/>
    <x v="0"/>
    <x v="5"/>
    <x v="43"/>
    <d v="2026-04-14T00:00:00"/>
    <d v="2026-04-11T00:00:00"/>
    <n v="14"/>
    <x v="1"/>
  </r>
  <r>
    <x v="44"/>
    <n v="103"/>
    <x v="3"/>
    <x v="3"/>
    <x v="2"/>
    <n v="2001"/>
    <x v="0"/>
    <x v="0"/>
    <x v="0"/>
    <x v="44"/>
    <d v="2026-04-19T00:00:00"/>
    <d v="2026-04-15T00:00:00"/>
    <n v="14"/>
    <x v="1"/>
  </r>
  <r>
    <x v="45"/>
    <n v="111"/>
    <x v="13"/>
    <x v="13"/>
    <x v="5"/>
    <n v="2005"/>
    <x v="13"/>
    <x v="2"/>
    <x v="7"/>
    <x v="45"/>
    <d v="2026-05-01T00:00:00"/>
    <d v="2026-05-01T00:00:00"/>
    <n v="21"/>
    <x v="0"/>
  </r>
  <r>
    <x v="46"/>
    <n v="118"/>
    <x v="14"/>
    <x v="14"/>
    <x v="5"/>
    <n v="2008"/>
    <x v="17"/>
    <x v="0"/>
    <x v="0"/>
    <x v="46"/>
    <d v="2026-04-29T00:00:00"/>
    <d v="2026-04-29T00:00:00"/>
    <n v="14"/>
    <x v="0"/>
  </r>
  <r>
    <x v="47"/>
    <n v="105"/>
    <x v="6"/>
    <x v="6"/>
    <x v="4"/>
    <n v="2011"/>
    <x v="18"/>
    <x v="0"/>
    <x v="5"/>
    <x v="47"/>
    <d v="2026-04-27T00:00:00"/>
    <d v="2026-04-27T00:00:00"/>
    <n v="7"/>
    <x v="0"/>
  </r>
  <r>
    <x v="48"/>
    <n v="113"/>
    <x v="15"/>
    <x v="15"/>
    <x v="4"/>
    <n v="2014"/>
    <x v="19"/>
    <x v="0"/>
    <x v="0"/>
    <x v="48"/>
    <d v="2026-05-25T00:00:00"/>
    <d v="2026-05-25T00:00:00"/>
    <n v="30"/>
    <x v="0"/>
  </r>
  <r>
    <x v="49"/>
    <n v="120"/>
    <x v="16"/>
    <x v="16"/>
    <x v="7"/>
    <n v="2017"/>
    <x v="5"/>
    <x v="1"/>
    <x v="4"/>
    <x v="49"/>
    <d v="2026-04-16T00:00:00"/>
    <d v="2026-04-16T00:00:00"/>
    <n v="7"/>
    <x v="0"/>
  </r>
  <r>
    <x v="50"/>
    <n v="107"/>
    <x v="9"/>
    <x v="9"/>
    <x v="3"/>
    <n v="2001"/>
    <x v="0"/>
    <x v="0"/>
    <x v="0"/>
    <x v="50"/>
    <d v="2026-04-28T00:00:00"/>
    <d v="2026-04-28T00:00:00"/>
    <n v="14"/>
    <x v="0"/>
  </r>
  <r>
    <x v="51"/>
    <n v="115"/>
    <x v="2"/>
    <x v="2"/>
    <x v="2"/>
    <n v="2004"/>
    <x v="1"/>
    <x v="0"/>
    <x v="1"/>
    <x v="51"/>
    <d v="2026-05-03T00:00:00"/>
    <d v="2026-05-02T00:00:00"/>
    <n v="14"/>
    <x v="1"/>
  </r>
  <r>
    <x v="52"/>
    <n v="102"/>
    <x v="17"/>
    <x v="17"/>
    <x v="8"/>
    <n v="2007"/>
    <x v="2"/>
    <x v="1"/>
    <x v="2"/>
    <x v="52"/>
    <d v="2026-05-15T00:00:00"/>
    <d v="2026-05-13T00:00:00"/>
    <n v="21"/>
    <x v="1"/>
  </r>
  <r>
    <x v="53"/>
    <n v="109"/>
    <x v="11"/>
    <x v="11"/>
    <x v="6"/>
    <n v="2010"/>
    <x v="3"/>
    <x v="2"/>
    <x v="3"/>
    <x v="53"/>
    <d v="2026-05-13T00:00:00"/>
    <d v="2026-05-10T00:00:00"/>
    <n v="14"/>
    <x v="1"/>
  </r>
  <r>
    <x v="54"/>
    <n v="117"/>
    <x v="5"/>
    <x v="5"/>
    <x v="3"/>
    <n v="2013"/>
    <x v="4"/>
    <x v="0"/>
    <x v="1"/>
    <x v="54"/>
    <d v="2026-05-11T00:00:00"/>
    <d v="2026-05-07T00:00:00"/>
    <n v="7"/>
    <x v="1"/>
  </r>
  <r>
    <x v="55"/>
    <n v="104"/>
    <x v="18"/>
    <x v="18"/>
    <x v="1"/>
    <n v="2017"/>
    <x v="5"/>
    <x v="1"/>
    <x v="4"/>
    <x v="55"/>
    <d v="2026-06-08T00:00:00"/>
    <d v="2026-06-08T00:00:00"/>
    <n v="30"/>
    <x v="0"/>
  </r>
  <r>
    <x v="56"/>
    <n v="111"/>
    <x v="13"/>
    <x v="13"/>
    <x v="5"/>
    <n v="2020"/>
    <x v="6"/>
    <x v="0"/>
    <x v="1"/>
    <x v="56"/>
    <d v="2026-04-30T00:00:00"/>
    <d v="2026-04-30T00:00:00"/>
    <n v="7"/>
    <x v="0"/>
  </r>
  <r>
    <x v="57"/>
    <n v="119"/>
    <x v="8"/>
    <x v="8"/>
    <x v="6"/>
    <n v="2003"/>
    <x v="7"/>
    <x v="1"/>
    <x v="5"/>
    <x v="57"/>
    <d v="2026-05-12T00:00:00"/>
    <d v="2026-05-12T00:00:00"/>
    <n v="14"/>
    <x v="0"/>
  </r>
  <r>
    <x v="58"/>
    <n v="106"/>
    <x v="19"/>
    <x v="19"/>
    <x v="3"/>
    <n v="2006"/>
    <x v="8"/>
    <x v="0"/>
    <x v="5"/>
    <x v="58"/>
    <d v="2026-05-17T00:00:00"/>
    <d v="2026-05-17T00:00:00"/>
    <n v="14"/>
    <x v="0"/>
  </r>
  <r>
    <x v="59"/>
    <n v="113"/>
    <x v="15"/>
    <x v="15"/>
    <x v="4"/>
    <n v="2009"/>
    <x v="9"/>
    <x v="0"/>
    <x v="6"/>
    <x v="59"/>
    <d v="2026-05-29T00:00:00"/>
    <d v="2026-05-29T00:00:00"/>
    <n v="21"/>
    <x v="0"/>
  </r>
  <r>
    <x v="60"/>
    <n v="101"/>
    <x v="0"/>
    <x v="0"/>
    <x v="0"/>
    <n v="2013"/>
    <x v="4"/>
    <x v="0"/>
    <x v="1"/>
    <x v="60"/>
    <d v="2026-05-27T00:00:00"/>
    <d v="2026-05-27T00:00:00"/>
    <n v="14"/>
    <x v="0"/>
  </r>
  <r>
    <x v="61"/>
    <n v="108"/>
    <x v="1"/>
    <x v="1"/>
    <x v="1"/>
    <n v="2016"/>
    <x v="10"/>
    <x v="0"/>
    <x v="6"/>
    <x v="61"/>
    <d v="2026-05-25T00:00:00"/>
    <d v="2026-05-24T00:00:00"/>
    <n v="7"/>
    <x v="1"/>
  </r>
  <r>
    <x v="62"/>
    <n v="115"/>
    <x v="2"/>
    <x v="2"/>
    <x v="2"/>
    <n v="2019"/>
    <x v="11"/>
    <x v="0"/>
    <x v="0"/>
    <x v="62"/>
    <d v="2026-06-22T00:00:00"/>
    <d v="2026-06-20T00:00:00"/>
    <n v="30"/>
    <x v="1"/>
  </r>
  <r>
    <x v="63"/>
    <n v="103"/>
    <x v="3"/>
    <x v="3"/>
    <x v="2"/>
    <n v="2002"/>
    <x v="12"/>
    <x v="0"/>
    <x v="6"/>
    <x v="63"/>
    <d v="2026-05-14T00:00:00"/>
    <d v="2026-05-11T00:00:00"/>
    <n v="7"/>
    <x v="1"/>
  </r>
  <r>
    <x v="64"/>
    <n v="110"/>
    <x v="4"/>
    <x v="4"/>
    <x v="2"/>
    <n v="2005"/>
    <x v="13"/>
    <x v="2"/>
    <x v="7"/>
    <x v="64"/>
    <d v="2026-05-26T00:00:00"/>
    <d v="2026-05-22T00:00:00"/>
    <n v="14"/>
    <x v="1"/>
  </r>
  <r>
    <x v="65"/>
    <n v="117"/>
    <x v="5"/>
    <x v="5"/>
    <x v="3"/>
    <n v="2009"/>
    <x v="9"/>
    <x v="0"/>
    <x v="6"/>
    <x v="65"/>
    <d v="2026-05-31T00:00:00"/>
    <d v="2026-05-31T00:00:00"/>
    <n v="14"/>
    <x v="0"/>
  </r>
  <r>
    <x v="66"/>
    <n v="105"/>
    <x v="6"/>
    <x v="6"/>
    <x v="4"/>
    <n v="2012"/>
    <x v="14"/>
    <x v="1"/>
    <x v="8"/>
    <x v="66"/>
    <d v="2026-06-12T00:00:00"/>
    <d v="2026-06-12T00:00:00"/>
    <n v="21"/>
    <x v="0"/>
  </r>
  <r>
    <x v="67"/>
    <n v="112"/>
    <x v="7"/>
    <x v="7"/>
    <x v="5"/>
    <n v="2015"/>
    <x v="15"/>
    <x v="2"/>
    <x v="9"/>
    <x v="67"/>
    <d v="2026-06-10T00:00:00"/>
    <d v="2026-06-10T00:00:00"/>
    <n v="14"/>
    <x v="0"/>
  </r>
  <r>
    <x v="68"/>
    <n v="119"/>
    <x v="8"/>
    <x v="8"/>
    <x v="6"/>
    <n v="2018"/>
    <x v="16"/>
    <x v="0"/>
    <x v="5"/>
    <x v="68"/>
    <d v="2026-06-08T00:00:00"/>
    <d v="2026-06-08T00:00:00"/>
    <n v="7"/>
    <x v="0"/>
  </r>
  <r>
    <x v="69"/>
    <n v="107"/>
    <x v="9"/>
    <x v="9"/>
    <x v="3"/>
    <n v="2001"/>
    <x v="0"/>
    <x v="0"/>
    <x v="0"/>
    <x v="69"/>
    <d v="2026-07-06T00:00:00"/>
    <d v="2026-07-06T00:00:00"/>
    <n v="30"/>
    <x v="0"/>
  </r>
  <r>
    <x v="70"/>
    <n v="114"/>
    <x v="10"/>
    <x v="10"/>
    <x v="6"/>
    <n v="2005"/>
    <x v="13"/>
    <x v="2"/>
    <x v="7"/>
    <x v="70"/>
    <d v="2026-05-28T00:00:00"/>
    <d v="2026-05-28T00:00:00"/>
    <n v="7"/>
    <x v="0"/>
  </r>
  <r>
    <x v="71"/>
    <n v="101"/>
    <x v="0"/>
    <x v="0"/>
    <x v="0"/>
    <n v="2008"/>
    <x v="17"/>
    <x v="0"/>
    <x v="0"/>
    <x v="71"/>
    <d v="2026-06-09T00:00:00"/>
    <d v="2026-06-08T00:00:00"/>
    <n v="14"/>
    <x v="1"/>
  </r>
  <r>
    <x v="72"/>
    <n v="109"/>
    <x v="11"/>
    <x v="11"/>
    <x v="6"/>
    <n v="2011"/>
    <x v="18"/>
    <x v="0"/>
    <x v="5"/>
    <x v="72"/>
    <d v="2026-06-14T00:00:00"/>
    <d v="2026-06-12T00:00:00"/>
    <n v="14"/>
    <x v="1"/>
  </r>
  <r>
    <x v="73"/>
    <n v="116"/>
    <x v="12"/>
    <x v="12"/>
    <x v="1"/>
    <n v="2014"/>
    <x v="19"/>
    <x v="0"/>
    <x v="0"/>
    <x v="73"/>
    <d v="2026-06-26T00:00:00"/>
    <d v="2026-06-23T00:00:00"/>
    <n v="21"/>
    <x v="1"/>
  </r>
  <r>
    <x v="74"/>
    <n v="103"/>
    <x v="3"/>
    <x v="3"/>
    <x v="2"/>
    <n v="2017"/>
    <x v="5"/>
    <x v="1"/>
    <x v="4"/>
    <x v="74"/>
    <d v="2026-06-24T00:00:00"/>
    <d v="2026-06-20T00:00:00"/>
    <n v="14"/>
    <x v="1"/>
  </r>
  <r>
    <x v="75"/>
    <n v="111"/>
    <x v="13"/>
    <x v="13"/>
    <x v="5"/>
    <n v="2001"/>
    <x v="0"/>
    <x v="0"/>
    <x v="0"/>
    <x v="75"/>
    <d v="2026-06-22T00:00:00"/>
    <d v="2026-06-22T00:00:00"/>
    <n v="7"/>
    <x v="0"/>
  </r>
  <r>
    <x v="76"/>
    <n v="118"/>
    <x v="14"/>
    <x v="14"/>
    <x v="5"/>
    <n v="2004"/>
    <x v="1"/>
    <x v="0"/>
    <x v="1"/>
    <x v="76"/>
    <d v="2026-07-20T00:00:00"/>
    <d v="2026-07-20T00:00:00"/>
    <n v="30"/>
    <x v="0"/>
  </r>
  <r>
    <x v="77"/>
    <n v="105"/>
    <x v="6"/>
    <x v="6"/>
    <x v="4"/>
    <n v="2007"/>
    <x v="2"/>
    <x v="1"/>
    <x v="2"/>
    <x v="77"/>
    <d v="2026-06-11T00:00:00"/>
    <d v="2026-06-11T00:00:00"/>
    <n v="7"/>
    <x v="0"/>
  </r>
  <r>
    <x v="78"/>
    <n v="113"/>
    <x v="15"/>
    <x v="15"/>
    <x v="4"/>
    <n v="2010"/>
    <x v="3"/>
    <x v="2"/>
    <x v="3"/>
    <x v="78"/>
    <d v="2026-06-23T00:00:00"/>
    <d v="2026-06-23T00:00:00"/>
    <n v="14"/>
    <x v="0"/>
  </r>
  <r>
    <x v="79"/>
    <n v="120"/>
    <x v="16"/>
    <x v="16"/>
    <x v="7"/>
    <n v="2013"/>
    <x v="4"/>
    <x v="0"/>
    <x v="1"/>
    <x v="79"/>
    <d v="2026-06-28T00:00:00"/>
    <d v="2026-06-28T00:00:00"/>
    <n v="14"/>
    <x v="0"/>
  </r>
  <r>
    <x v="80"/>
    <n v="107"/>
    <x v="9"/>
    <x v="9"/>
    <x v="3"/>
    <n v="2017"/>
    <x v="5"/>
    <x v="1"/>
    <x v="4"/>
    <x v="80"/>
    <d v="2026-07-10T00:00:00"/>
    <d v="2026-07-10T00:00:00"/>
    <n v="21"/>
    <x v="0"/>
  </r>
  <r>
    <x v="81"/>
    <n v="115"/>
    <x v="2"/>
    <x v="2"/>
    <x v="2"/>
    <n v="2020"/>
    <x v="6"/>
    <x v="0"/>
    <x v="1"/>
    <x v="81"/>
    <d v="2026-07-08T00:00:00"/>
    <d v="2026-07-07T00:00:00"/>
    <n v="14"/>
    <x v="1"/>
  </r>
  <r>
    <x v="82"/>
    <n v="102"/>
    <x v="17"/>
    <x v="17"/>
    <x v="8"/>
    <n v="2003"/>
    <x v="7"/>
    <x v="1"/>
    <x v="5"/>
    <x v="82"/>
    <d v="2026-07-06T00:00:00"/>
    <d v="2026-07-04T00:00:00"/>
    <n v="7"/>
    <x v="1"/>
  </r>
  <r>
    <x v="83"/>
    <n v="109"/>
    <x v="11"/>
    <x v="11"/>
    <x v="6"/>
    <n v="2006"/>
    <x v="8"/>
    <x v="0"/>
    <x v="5"/>
    <x v="83"/>
    <d v="2026-08-03T00:00:00"/>
    <d v="2026-07-31T00:00:00"/>
    <n v="30"/>
    <x v="1"/>
  </r>
  <r>
    <x v="84"/>
    <n v="117"/>
    <x v="5"/>
    <x v="5"/>
    <x v="3"/>
    <n v="2009"/>
    <x v="9"/>
    <x v="0"/>
    <x v="6"/>
    <x v="84"/>
    <d v="2026-06-25T00:00:00"/>
    <d v="2026-06-21T00:00:00"/>
    <n v="7"/>
    <x v="1"/>
  </r>
  <r>
    <x v="85"/>
    <n v="104"/>
    <x v="18"/>
    <x v="18"/>
    <x v="1"/>
    <n v="2013"/>
    <x v="4"/>
    <x v="0"/>
    <x v="1"/>
    <x v="85"/>
    <d v="2026-07-07T00:00:00"/>
    <d v="2026-07-07T00:00:00"/>
    <n v="14"/>
    <x v="0"/>
  </r>
  <r>
    <x v="86"/>
    <n v="111"/>
    <x v="13"/>
    <x v="13"/>
    <x v="5"/>
    <n v="2016"/>
    <x v="10"/>
    <x v="0"/>
    <x v="6"/>
    <x v="86"/>
    <d v="2026-07-12T00:00:00"/>
    <d v="2026-07-12T00:00:00"/>
    <n v="14"/>
    <x v="0"/>
  </r>
  <r>
    <x v="87"/>
    <n v="119"/>
    <x v="8"/>
    <x v="8"/>
    <x v="6"/>
    <n v="2019"/>
    <x v="11"/>
    <x v="0"/>
    <x v="0"/>
    <x v="87"/>
    <d v="2026-07-24T00:00:00"/>
    <d v="2026-07-24T00:00:00"/>
    <n v="21"/>
    <x v="0"/>
  </r>
  <r>
    <x v="88"/>
    <n v="106"/>
    <x v="19"/>
    <x v="19"/>
    <x v="3"/>
    <n v="2002"/>
    <x v="12"/>
    <x v="0"/>
    <x v="6"/>
    <x v="88"/>
    <d v="2026-07-22T00:00:00"/>
    <d v="2026-07-22T00:00:00"/>
    <n v="14"/>
    <x v="0"/>
  </r>
  <r>
    <x v="89"/>
    <n v="113"/>
    <x v="15"/>
    <x v="15"/>
    <x v="4"/>
    <n v="2005"/>
    <x v="13"/>
    <x v="2"/>
    <x v="7"/>
    <x v="89"/>
    <d v="2026-07-20T00:00:00"/>
    <d v="2026-07-20T00:00:00"/>
    <n v="7"/>
    <x v="0"/>
  </r>
  <r>
    <x v="90"/>
    <n v="101"/>
    <x v="0"/>
    <x v="0"/>
    <x v="0"/>
    <n v="2009"/>
    <x v="9"/>
    <x v="0"/>
    <x v="6"/>
    <x v="90"/>
    <d v="2026-08-17T00:00:00"/>
    <d v="2026-08-17T00:00:00"/>
    <n v="30"/>
    <x v="0"/>
  </r>
  <r>
    <x v="91"/>
    <n v="108"/>
    <x v="1"/>
    <x v="1"/>
    <x v="1"/>
    <n v="2012"/>
    <x v="14"/>
    <x v="1"/>
    <x v="8"/>
    <x v="91"/>
    <d v="2026-07-09T00:00:00"/>
    <d v="2026-07-08T00:00:00"/>
    <n v="7"/>
    <x v="1"/>
  </r>
  <r>
    <x v="92"/>
    <n v="115"/>
    <x v="2"/>
    <x v="2"/>
    <x v="2"/>
    <n v="2015"/>
    <x v="15"/>
    <x v="2"/>
    <x v="9"/>
    <x v="92"/>
    <d v="2026-07-21T00:00:00"/>
    <d v="2026-07-19T00:00:00"/>
    <n v="14"/>
    <x v="1"/>
  </r>
  <r>
    <x v="93"/>
    <n v="103"/>
    <x v="3"/>
    <x v="3"/>
    <x v="2"/>
    <n v="2018"/>
    <x v="16"/>
    <x v="0"/>
    <x v="5"/>
    <x v="93"/>
    <d v="2026-07-26T00:00:00"/>
    <d v="2026-07-23T00:00:00"/>
    <n v="14"/>
    <x v="1"/>
  </r>
  <r>
    <x v="94"/>
    <n v="110"/>
    <x v="4"/>
    <x v="4"/>
    <x v="2"/>
    <n v="2001"/>
    <x v="0"/>
    <x v="0"/>
    <x v="0"/>
    <x v="94"/>
    <d v="2026-08-07T00:00:00"/>
    <d v="2026-08-03T00:00:00"/>
    <n v="21"/>
    <x v="1"/>
  </r>
  <r>
    <x v="95"/>
    <n v="117"/>
    <x v="5"/>
    <x v="5"/>
    <x v="3"/>
    <n v="2005"/>
    <x v="13"/>
    <x v="2"/>
    <x v="7"/>
    <x v="95"/>
    <d v="2026-08-05T00:00:00"/>
    <d v="2026-08-05T00:00:00"/>
    <n v="14"/>
    <x v="0"/>
  </r>
  <r>
    <x v="96"/>
    <n v="105"/>
    <x v="6"/>
    <x v="6"/>
    <x v="4"/>
    <n v="2008"/>
    <x v="17"/>
    <x v="0"/>
    <x v="0"/>
    <x v="96"/>
    <d v="2026-08-03T00:00:00"/>
    <d v="2026-08-03T00:00:00"/>
    <n v="7"/>
    <x v="0"/>
  </r>
  <r>
    <x v="97"/>
    <n v="112"/>
    <x v="7"/>
    <x v="7"/>
    <x v="5"/>
    <n v="2011"/>
    <x v="18"/>
    <x v="0"/>
    <x v="5"/>
    <x v="97"/>
    <d v="2026-08-31T00:00:00"/>
    <d v="2026-08-31T00:00:00"/>
    <n v="30"/>
    <x v="0"/>
  </r>
  <r>
    <x v="98"/>
    <n v="119"/>
    <x v="8"/>
    <x v="8"/>
    <x v="6"/>
    <n v="2014"/>
    <x v="19"/>
    <x v="0"/>
    <x v="0"/>
    <x v="98"/>
    <d v="2026-07-23T00:00:00"/>
    <d v="2026-07-23T00:00:00"/>
    <n v="7"/>
    <x v="0"/>
  </r>
  <r>
    <x v="99"/>
    <n v="107"/>
    <x v="9"/>
    <x v="9"/>
    <x v="3"/>
    <n v="2017"/>
    <x v="5"/>
    <x v="1"/>
    <x v="4"/>
    <x v="99"/>
    <d v="2026-08-04T00:00:00"/>
    <d v="2026-08-04T00:00:00"/>
    <n v="14"/>
    <x v="0"/>
  </r>
  <r>
    <x v="100"/>
    <n v="114"/>
    <x v="10"/>
    <x v="10"/>
    <x v="6"/>
    <n v="2001"/>
    <x v="0"/>
    <x v="0"/>
    <x v="0"/>
    <x v="100"/>
    <d v="2026-08-09T00:00:00"/>
    <d v="2026-08-09T00:00:00"/>
    <n v="14"/>
    <x v="0"/>
  </r>
  <r>
    <x v="101"/>
    <n v="101"/>
    <x v="0"/>
    <x v="0"/>
    <x v="0"/>
    <n v="2004"/>
    <x v="1"/>
    <x v="0"/>
    <x v="1"/>
    <x v="101"/>
    <d v="2026-08-21T00:00:00"/>
    <d v="2026-08-20T00:00:00"/>
    <n v="21"/>
    <x v="1"/>
  </r>
  <r>
    <x v="102"/>
    <n v="109"/>
    <x v="11"/>
    <x v="11"/>
    <x v="6"/>
    <n v="2007"/>
    <x v="2"/>
    <x v="1"/>
    <x v="2"/>
    <x v="102"/>
    <d v="2026-08-19T00:00:00"/>
    <d v="2026-08-17T00:00:00"/>
    <n v="14"/>
    <x v="1"/>
  </r>
  <r>
    <x v="103"/>
    <n v="116"/>
    <x v="12"/>
    <x v="12"/>
    <x v="1"/>
    <n v="2010"/>
    <x v="3"/>
    <x v="2"/>
    <x v="3"/>
    <x v="103"/>
    <d v="2026-08-17T00:00:00"/>
    <d v="2026-08-14T00:00:00"/>
    <n v="7"/>
    <x v="1"/>
  </r>
  <r>
    <x v="104"/>
    <n v="103"/>
    <x v="3"/>
    <x v="3"/>
    <x v="2"/>
    <n v="2013"/>
    <x v="4"/>
    <x v="0"/>
    <x v="1"/>
    <x v="104"/>
    <d v="2026-09-14T00:00:00"/>
    <d v="2026-09-10T00:00:00"/>
    <n v="30"/>
    <x v="1"/>
  </r>
  <r>
    <x v="105"/>
    <n v="111"/>
    <x v="13"/>
    <x v="13"/>
    <x v="5"/>
    <n v="2017"/>
    <x v="5"/>
    <x v="1"/>
    <x v="4"/>
    <x v="105"/>
    <d v="2026-08-06T00:00:00"/>
    <d v="2026-08-06T00:00:00"/>
    <n v="7"/>
    <x v="0"/>
  </r>
  <r>
    <x v="106"/>
    <n v="118"/>
    <x v="14"/>
    <x v="14"/>
    <x v="5"/>
    <n v="2020"/>
    <x v="6"/>
    <x v="0"/>
    <x v="1"/>
    <x v="106"/>
    <d v="2026-08-18T00:00:00"/>
    <d v="2026-08-18T00:00:00"/>
    <n v="14"/>
    <x v="0"/>
  </r>
  <r>
    <x v="107"/>
    <n v="105"/>
    <x v="6"/>
    <x v="6"/>
    <x v="4"/>
    <n v="2003"/>
    <x v="7"/>
    <x v="1"/>
    <x v="5"/>
    <x v="107"/>
    <d v="2026-08-23T00:00:00"/>
    <d v="2026-08-23T00:00:00"/>
    <n v="14"/>
    <x v="0"/>
  </r>
  <r>
    <x v="108"/>
    <n v="113"/>
    <x v="15"/>
    <x v="15"/>
    <x v="4"/>
    <n v="2006"/>
    <x v="8"/>
    <x v="0"/>
    <x v="5"/>
    <x v="108"/>
    <d v="2026-09-04T00:00:00"/>
    <d v="2026-09-04T00:00:00"/>
    <n v="21"/>
    <x v="0"/>
  </r>
  <r>
    <x v="109"/>
    <n v="120"/>
    <x v="16"/>
    <x v="16"/>
    <x v="7"/>
    <n v="2009"/>
    <x v="9"/>
    <x v="0"/>
    <x v="6"/>
    <x v="109"/>
    <d v="2026-09-02T00:00:00"/>
    <d v="2026-09-02T00:00:00"/>
    <n v="14"/>
    <x v="0"/>
  </r>
  <r>
    <x v="110"/>
    <n v="107"/>
    <x v="9"/>
    <x v="9"/>
    <x v="3"/>
    <n v="2013"/>
    <x v="4"/>
    <x v="0"/>
    <x v="1"/>
    <x v="110"/>
    <d v="2026-08-31T00:00:00"/>
    <d v="2026-08-31T00:00:00"/>
    <n v="7"/>
    <x v="0"/>
  </r>
  <r>
    <x v="111"/>
    <n v="115"/>
    <x v="2"/>
    <x v="2"/>
    <x v="2"/>
    <n v="2016"/>
    <x v="10"/>
    <x v="0"/>
    <x v="6"/>
    <x v="111"/>
    <d v="2026-09-28T00:00:00"/>
    <d v="2026-09-27T00:00:00"/>
    <n v="30"/>
    <x v="1"/>
  </r>
  <r>
    <x v="112"/>
    <n v="102"/>
    <x v="17"/>
    <x v="17"/>
    <x v="8"/>
    <n v="2019"/>
    <x v="11"/>
    <x v="0"/>
    <x v="0"/>
    <x v="112"/>
    <d v="2026-08-20T00:00:00"/>
    <d v="2026-08-18T00:00:00"/>
    <n v="7"/>
    <x v="1"/>
  </r>
  <r>
    <x v="113"/>
    <n v="109"/>
    <x v="11"/>
    <x v="11"/>
    <x v="6"/>
    <n v="2002"/>
    <x v="12"/>
    <x v="0"/>
    <x v="6"/>
    <x v="113"/>
    <d v="2026-09-01T00:00:00"/>
    <d v="2026-08-29T00:00:00"/>
    <n v="14"/>
    <x v="1"/>
  </r>
  <r>
    <x v="114"/>
    <n v="117"/>
    <x v="5"/>
    <x v="5"/>
    <x v="3"/>
    <n v="2005"/>
    <x v="13"/>
    <x v="2"/>
    <x v="7"/>
    <x v="114"/>
    <d v="2026-09-06T00:00:00"/>
    <d v="2026-09-02T00:00:00"/>
    <n v="14"/>
    <x v="1"/>
  </r>
  <r>
    <x v="115"/>
    <n v="104"/>
    <x v="18"/>
    <x v="18"/>
    <x v="1"/>
    <n v="2009"/>
    <x v="9"/>
    <x v="0"/>
    <x v="6"/>
    <x v="115"/>
    <d v="2026-09-18T00:00:00"/>
    <d v="2026-09-19T00:00:00"/>
    <n v="21"/>
    <x v="1"/>
  </r>
  <r>
    <x v="116"/>
    <n v="111"/>
    <x v="13"/>
    <x v="13"/>
    <x v="5"/>
    <n v="2012"/>
    <x v="14"/>
    <x v="1"/>
    <x v="8"/>
    <x v="116"/>
    <d v="2026-09-16T00:00:00"/>
    <d v="2026-09-20T00:00:00"/>
    <n v="14"/>
    <x v="1"/>
  </r>
  <r>
    <x v="117"/>
    <n v="119"/>
    <x v="8"/>
    <x v="8"/>
    <x v="6"/>
    <n v="2015"/>
    <x v="15"/>
    <x v="2"/>
    <x v="9"/>
    <x v="117"/>
    <d v="2026-09-14T00:00:00"/>
    <d v="2026-09-21T00:00:00"/>
    <n v="7"/>
    <x v="1"/>
  </r>
  <r>
    <x v="118"/>
    <n v="106"/>
    <x v="19"/>
    <x v="19"/>
    <x v="3"/>
    <n v="2018"/>
    <x v="16"/>
    <x v="0"/>
    <x v="5"/>
    <x v="118"/>
    <d v="2026-10-12T00:00:00"/>
    <d v="2026-10-21T00:00:00"/>
    <n v="30"/>
    <x v="1"/>
  </r>
  <r>
    <x v="119"/>
    <n v="113"/>
    <x v="15"/>
    <x v="15"/>
    <x v="4"/>
    <n v="2001"/>
    <x v="0"/>
    <x v="0"/>
    <x v="0"/>
    <x v="119"/>
    <d v="2026-09-03T00:00:00"/>
    <d v="2026-09-03T00:00:00"/>
    <n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0BBBD5-2EDC-48F0-B706-DFEAF09AECF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4">
    <pivotField dataField="1" showAll="0"/>
    <pivotField showAll="0"/>
    <pivotField showAll="0"/>
    <pivotField showAll="0"/>
    <pivotField showAll="0"/>
    <pivotField showAll="0"/>
    <pivotField showAll="0"/>
    <pivotField showAll="0"/>
    <pivotField showAll="0"/>
    <pivotField numFmtId="14" showAll="0"/>
    <pivotField numFmtId="14" showAll="0"/>
    <pivotField numFmtId="14" showAll="0"/>
    <pivotField numFmtId="1" showAll="0"/>
    <pivotField showAll="0"/>
  </pivotFields>
  <rowItems count="1">
    <i/>
  </rowItems>
  <colItems count="1">
    <i/>
  </colItems>
  <dataFields count="1">
    <dataField name="Total Book Transction" fld="0" baseField="0" baseItem="0"/>
  </dataFields>
  <formats count="5">
    <format dxfId="4">
      <pivotArea outline="0" collapsedLevelsAreSubtotals="1" fieldPosition="0"/>
    </format>
    <format dxfId="3">
      <pivotArea dataOnly="0" labelOnly="1" outline="0" axis="axisValues" fieldPosition="0"/>
    </format>
    <format dxfId="2">
      <pivotArea dataOnly="0" labelOnly="1" outline="0" axis="axisValues" fieldPosition="0"/>
    </format>
    <format dxfId="1">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CE9302-3088-423E-962A-E007FB6B72B7}" name="PivotTable6"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3" rowHeaderCaption="Member ">
  <location ref="H2:I6" firstHeaderRow="1" firstDataRow="1" firstDataCol="1"/>
  <pivotFields count="14">
    <pivotField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pivotField showAll="0">
      <items count="21">
        <item x="19"/>
        <item x="7"/>
        <item x="6"/>
        <item x="9"/>
        <item x="12"/>
        <item x="13"/>
        <item x="8"/>
        <item x="14"/>
        <item x="3"/>
        <item x="1"/>
        <item x="17"/>
        <item x="16"/>
        <item x="18"/>
        <item x="11"/>
        <item x="15"/>
        <item x="5"/>
        <item x="2"/>
        <item x="4"/>
        <item x="10"/>
        <item x="0"/>
        <item t="default"/>
      </items>
    </pivotField>
    <pivotField showAll="0"/>
    <pivotField showAll="0">
      <items count="10">
        <item x="0"/>
        <item x="7"/>
        <item x="6"/>
        <item x="4"/>
        <item x="8"/>
        <item x="2"/>
        <item x="1"/>
        <item x="3"/>
        <item x="5"/>
        <item t="default"/>
      </items>
    </pivotField>
    <pivotField showAll="0"/>
    <pivotField axis="axisRow" dataField="1" showAll="0">
      <items count="21">
        <item x="14"/>
        <item x="0"/>
        <item x="2"/>
        <item x="1"/>
        <item x="16"/>
        <item x="9"/>
        <item x="15"/>
        <item x="12"/>
        <item x="18"/>
        <item x="5"/>
        <item x="3"/>
        <item x="4"/>
        <item x="17"/>
        <item x="10"/>
        <item x="19"/>
        <item x="13"/>
        <item x="11"/>
        <item x="8"/>
        <item x="6"/>
        <item x="7"/>
        <item t="default"/>
      </items>
    </pivotField>
    <pivotField showAll="0">
      <items count="4">
        <item x="1"/>
        <item x="2"/>
        <item x="0"/>
        <item t="default"/>
      </items>
    </pivotField>
    <pivotField showAll="0">
      <items count="11">
        <item h="1" x="7"/>
        <item h="1" x="1"/>
        <item h="1" x="6"/>
        <item x="5"/>
        <item h="1" x="8"/>
        <item h="1" x="4"/>
        <item h="1" x="9"/>
        <item h="1" x="3"/>
        <item h="1" x="2"/>
        <item h="1" x="0"/>
        <item t="default"/>
      </items>
    </pivotField>
    <pivotField numFmtId="14" showAll="0">
      <items count="121">
        <item x="0"/>
        <item x="1"/>
        <item x="2"/>
        <item x="7"/>
        <item x="3"/>
        <item x="8"/>
        <item x="4"/>
        <item x="9"/>
        <item x="5"/>
        <item x="14"/>
        <item x="10"/>
        <item x="6"/>
        <item x="15"/>
        <item x="11"/>
        <item x="16"/>
        <item x="12"/>
        <item x="21"/>
        <item x="17"/>
        <item x="13"/>
        <item x="22"/>
        <item x="18"/>
        <item x="23"/>
        <item x="19"/>
        <item x="28"/>
        <item x="24"/>
        <item x="20"/>
        <item x="29"/>
        <item x="25"/>
        <item x="30"/>
        <item x="26"/>
        <item x="35"/>
        <item x="31"/>
        <item x="27"/>
        <item x="36"/>
        <item x="32"/>
        <item x="37"/>
        <item x="33"/>
        <item x="42"/>
        <item x="38"/>
        <item x="34"/>
        <item x="43"/>
        <item x="39"/>
        <item x="44"/>
        <item x="40"/>
        <item x="49"/>
        <item x="45"/>
        <item x="41"/>
        <item x="50"/>
        <item x="46"/>
        <item x="51"/>
        <item x="47"/>
        <item x="56"/>
        <item x="52"/>
        <item x="48"/>
        <item x="57"/>
        <item x="53"/>
        <item x="58"/>
        <item x="54"/>
        <item x="63"/>
        <item x="59"/>
        <item x="55"/>
        <item x="64"/>
        <item x="60"/>
        <item x="65"/>
        <item x="61"/>
        <item x="70"/>
        <item x="66"/>
        <item x="62"/>
        <item x="71"/>
        <item x="67"/>
        <item x="72"/>
        <item x="68"/>
        <item x="77"/>
        <item x="73"/>
        <item x="69"/>
        <item x="78"/>
        <item x="74"/>
        <item x="79"/>
        <item x="75"/>
        <item x="84"/>
        <item x="80"/>
        <item x="76"/>
        <item x="85"/>
        <item x="81"/>
        <item x="86"/>
        <item x="82"/>
        <item x="91"/>
        <item x="87"/>
        <item x="83"/>
        <item x="92"/>
        <item x="88"/>
        <item x="93"/>
        <item x="89"/>
        <item x="98"/>
        <item x="94"/>
        <item x="90"/>
        <item x="99"/>
        <item x="95"/>
        <item x="100"/>
        <item x="96"/>
        <item x="105"/>
        <item x="101"/>
        <item x="97"/>
        <item x="106"/>
        <item x="102"/>
        <item x="107"/>
        <item x="103"/>
        <item x="112"/>
        <item x="108"/>
        <item x="104"/>
        <item x="113"/>
        <item x="109"/>
        <item x="114"/>
        <item x="110"/>
        <item x="119"/>
        <item x="115"/>
        <item x="111"/>
        <item x="116"/>
        <item x="117"/>
        <item x="118"/>
        <item t="default"/>
      </items>
    </pivotField>
    <pivotField numFmtId="14" showAll="0"/>
    <pivotField numFmtId="14" showAll="0"/>
    <pivotField numFmtId="1" showAll="0"/>
    <pivotField showAll="0"/>
  </pivotFields>
  <rowFields count="1">
    <field x="6"/>
  </rowFields>
  <rowItems count="4">
    <i>
      <x v="4"/>
    </i>
    <i>
      <x v="8"/>
    </i>
    <i>
      <x v="17"/>
    </i>
    <i>
      <x v="19"/>
    </i>
  </rowItems>
  <colItems count="1">
    <i/>
  </colItems>
  <dataFields count="1">
    <dataField name="Transction" fld="6" subtotal="count" baseField="6" baseItem="4"/>
  </dataFields>
  <formats count="7">
    <format dxfId="11">
      <pivotArea outline="0" collapsedLevelsAreSubtotals="1" fieldPosition="0"/>
    </format>
    <format dxfId="10">
      <pivotArea field="4" type="button" dataOnly="0" labelOnly="1" outline="0"/>
    </format>
    <format dxfId="9">
      <pivotArea dataOnly="0" labelOnly="1" outline="0" axis="axisValues" fieldPosition="0"/>
    </format>
    <format dxfId="8">
      <pivotArea outline="0" collapsedLevelsAreSubtotals="1" fieldPosition="0"/>
    </format>
    <format dxfId="7">
      <pivotArea dataOnly="0" labelOnly="1" fieldPosition="0">
        <references count="1">
          <reference field="6" count="4">
            <x v="4"/>
            <x v="8"/>
            <x v="17"/>
            <x v="19"/>
          </reference>
        </references>
      </pivotArea>
    </format>
    <format dxfId="6">
      <pivotArea field="6" type="button" dataOnly="0" labelOnly="1" outline="0" axis="axisRow" fieldPosition="0"/>
    </format>
    <format dxfId="5">
      <pivotArea field="6" type="button" dataOnly="0" labelOnly="1" outline="0" axis="axisRow" fieldPosition="0"/>
    </format>
  </formats>
  <chartFormats count="1">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20" name="Issue Date">
      <autoFilter ref="A1">
        <filterColumn colId="0">
          <customFilters and="1">
            <customFilter operator="greaterThanOrEqual" val="46023"/>
            <customFilter operator="lessThanOrEqual" val="46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710BE7-FE6E-4CEF-93FB-02D53D7A37E4}" name="PivotTable5"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3" rowHeaderCaption="Transction ">
  <location ref="D7:E20" firstHeaderRow="1" firstDataRow="1" firstDataCol="1"/>
  <pivotFields count="14">
    <pivotField axis="axisRow"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dataField="1" showAll="0"/>
    <pivotField showAll="0"/>
    <pivotField showAll="0">
      <items count="21">
        <item x="0"/>
        <item x="5"/>
        <item x="14"/>
        <item x="11"/>
        <item x="10"/>
        <item x="9"/>
        <item x="6"/>
        <item x="15"/>
        <item x="19"/>
        <item x="8"/>
        <item x="18"/>
        <item x="2"/>
        <item x="4"/>
        <item x="17"/>
        <item x="12"/>
        <item x="7"/>
        <item x="3"/>
        <item x="16"/>
        <item x="13"/>
        <item x="1"/>
        <item t="default"/>
      </items>
    </pivotField>
    <pivotField showAll="0">
      <items count="10">
        <item x="0"/>
        <item x="7"/>
        <item x="6"/>
        <item x="4"/>
        <item x="8"/>
        <item x="2"/>
        <item x="1"/>
        <item x="3"/>
        <item x="5"/>
        <item t="default"/>
      </items>
    </pivotField>
    <pivotField showAll="0"/>
    <pivotField showAll="0">
      <items count="21">
        <item x="14"/>
        <item x="0"/>
        <item x="2"/>
        <item x="1"/>
        <item x="16"/>
        <item x="9"/>
        <item x="15"/>
        <item x="12"/>
        <item x="18"/>
        <item x="5"/>
        <item x="3"/>
        <item x="4"/>
        <item x="17"/>
        <item x="10"/>
        <item x="19"/>
        <item x="13"/>
        <item x="11"/>
        <item x="8"/>
        <item x="6"/>
        <item x="7"/>
        <item t="default"/>
      </items>
    </pivotField>
    <pivotField showAll="0">
      <items count="4">
        <item x="1"/>
        <item x="2"/>
        <item x="0"/>
        <item t="default"/>
      </items>
    </pivotField>
    <pivotField showAll="0">
      <items count="11">
        <item h="1" x="7"/>
        <item h="1" x="1"/>
        <item h="1" x="6"/>
        <item x="5"/>
        <item h="1" x="8"/>
        <item h="1" x="4"/>
        <item h="1" x="9"/>
        <item h="1" x="3"/>
        <item h="1" x="2"/>
        <item h="1" x="0"/>
        <item t="default"/>
      </items>
    </pivotField>
    <pivotField numFmtId="14" showAll="0">
      <items count="121">
        <item x="0"/>
        <item x="1"/>
        <item x="2"/>
        <item x="7"/>
        <item x="3"/>
        <item x="8"/>
        <item x="4"/>
        <item x="9"/>
        <item x="5"/>
        <item x="14"/>
        <item x="10"/>
        <item x="6"/>
        <item x="15"/>
        <item x="11"/>
        <item x="16"/>
        <item x="12"/>
        <item x="21"/>
        <item x="17"/>
        <item x="13"/>
        <item x="22"/>
        <item x="18"/>
        <item x="23"/>
        <item x="19"/>
        <item x="28"/>
        <item x="24"/>
        <item x="20"/>
        <item x="29"/>
        <item x="25"/>
        <item x="30"/>
        <item x="26"/>
        <item x="35"/>
        <item x="31"/>
        <item x="27"/>
        <item x="36"/>
        <item x="32"/>
        <item x="37"/>
        <item x="33"/>
        <item x="42"/>
        <item x="38"/>
        <item x="34"/>
        <item x="43"/>
        <item x="39"/>
        <item x="44"/>
        <item x="40"/>
        <item x="49"/>
        <item x="45"/>
        <item x="41"/>
        <item x="50"/>
        <item x="46"/>
        <item x="51"/>
        <item x="47"/>
        <item x="56"/>
        <item x="52"/>
        <item x="48"/>
        <item x="57"/>
        <item x="53"/>
        <item x="58"/>
        <item x="54"/>
        <item x="63"/>
        <item x="59"/>
        <item x="55"/>
        <item x="64"/>
        <item x="60"/>
        <item x="65"/>
        <item x="61"/>
        <item x="70"/>
        <item x="66"/>
        <item x="62"/>
        <item x="71"/>
        <item x="67"/>
        <item x="72"/>
        <item x="68"/>
        <item x="77"/>
        <item x="73"/>
        <item x="69"/>
        <item x="78"/>
        <item x="74"/>
        <item x="79"/>
        <item x="75"/>
        <item x="84"/>
        <item x="80"/>
        <item x="76"/>
        <item x="85"/>
        <item x="81"/>
        <item x="86"/>
        <item x="82"/>
        <item x="91"/>
        <item x="87"/>
        <item x="83"/>
        <item x="92"/>
        <item x="88"/>
        <item x="93"/>
        <item x="89"/>
        <item x="98"/>
        <item x="94"/>
        <item x="90"/>
        <item x="99"/>
        <item x="95"/>
        <item x="100"/>
        <item x="96"/>
        <item x="105"/>
        <item x="101"/>
        <item x="97"/>
        <item x="106"/>
        <item x="102"/>
        <item x="107"/>
        <item x="103"/>
        <item x="112"/>
        <item x="108"/>
        <item x="104"/>
        <item x="113"/>
        <item x="109"/>
        <item x="114"/>
        <item x="110"/>
        <item x="119"/>
        <item x="115"/>
        <item x="111"/>
        <item x="116"/>
        <item x="117"/>
        <item x="118"/>
        <item t="default"/>
      </items>
    </pivotField>
    <pivotField numFmtId="14" showAll="0"/>
    <pivotField numFmtId="14" showAll="0"/>
    <pivotField numFmtId="1" showAll="0"/>
    <pivotField showAll="0"/>
  </pivotFields>
  <rowFields count="1">
    <field x="0"/>
  </rowFields>
  <rowItems count="13">
    <i>
      <x v="7"/>
    </i>
    <i>
      <x v="8"/>
    </i>
    <i>
      <x v="18"/>
    </i>
    <i>
      <x v="22"/>
    </i>
    <i>
      <x v="32"/>
    </i>
    <i>
      <x v="33"/>
    </i>
    <i>
      <x v="43"/>
    </i>
    <i>
      <x v="47"/>
    </i>
    <i>
      <x v="57"/>
    </i>
    <i>
      <x v="58"/>
    </i>
    <i>
      <x v="68"/>
    </i>
    <i>
      <x v="72"/>
    </i>
    <i>
      <x v="82"/>
    </i>
  </rowItems>
  <colItems count="1">
    <i/>
  </colItems>
  <dataFields count="1">
    <dataField name="Book" fld="1" subtotal="count" baseField="0" baseItem="7"/>
  </dataFields>
  <formats count="6">
    <format dxfId="17">
      <pivotArea outline="0" collapsedLevelsAreSubtotals="1" fieldPosition="0"/>
    </format>
    <format dxfId="16">
      <pivotArea field="0" type="button" dataOnly="0" labelOnly="1" outline="0" axis="axisRow" fieldPosition="0"/>
    </format>
    <format dxfId="15">
      <pivotArea dataOnly="0" labelOnly="1" outline="0" axis="axisValues" fieldPosition="0"/>
    </format>
    <format dxfId="14">
      <pivotArea outline="0" collapsedLevelsAreSubtotals="1" fieldPosition="0"/>
    </format>
    <format dxfId="13">
      <pivotArea dataOnly="0" labelOnly="1" fieldPosition="0">
        <references count="1">
          <reference field="0" count="9">
            <x v="14"/>
            <x v="20"/>
            <x v="39"/>
            <x v="45"/>
            <x v="64"/>
            <x v="70"/>
            <x v="89"/>
            <x v="95"/>
            <x v="114"/>
          </reference>
        </references>
      </pivotArea>
    </format>
    <format dxfId="12">
      <pivotArea dataOnly="0" labelOnly="1" fieldPosition="0">
        <references count="1">
          <reference field="0" count="18">
            <x v="7"/>
            <x v="8"/>
            <x v="18"/>
            <x v="22"/>
            <x v="32"/>
            <x v="33"/>
            <x v="43"/>
            <x v="47"/>
            <x v="57"/>
            <x v="58"/>
            <x v="68"/>
            <x v="72"/>
            <x v="82"/>
            <x v="83"/>
            <x v="93"/>
            <x v="97"/>
            <x v="107"/>
            <x v="108"/>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31" name="Issue Date">
      <autoFilter ref="A1">
        <filterColumn colId="0">
          <customFilters and="1">
            <customFilter operator="greaterThanOrEqual" val="46023"/>
            <customFilter operator="lessThanOrEqual" val="46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6E8742-3D26-4722-8A9C-2C30065E45BD}" name="PivotTable4"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6" rowHeaderCaption="Member Type">
  <location ref="D2:E4" firstHeaderRow="1" firstDataRow="1" firstDataCol="1"/>
  <pivotFields count="14">
    <pivotField showAll="0"/>
    <pivotField showAll="0"/>
    <pivotField showAll="0"/>
    <pivotField showAll="0"/>
    <pivotField showAll="0">
      <items count="10">
        <item x="0"/>
        <item x="7"/>
        <item x="6"/>
        <item x="4"/>
        <item x="8"/>
        <item x="2"/>
        <item x="1"/>
        <item x="3"/>
        <item x="5"/>
        <item t="default"/>
      </items>
    </pivotField>
    <pivotField showAll="0"/>
    <pivotField showAll="0"/>
    <pivotField axis="axisRow" dataField="1" showAll="0">
      <items count="4">
        <item x="1"/>
        <item x="2"/>
        <item x="0"/>
        <item t="default"/>
      </items>
    </pivotField>
    <pivotField showAll="0">
      <items count="11">
        <item h="1" x="7"/>
        <item h="1" x="1"/>
        <item h="1" x="6"/>
        <item x="5"/>
        <item h="1" x="8"/>
        <item h="1" x="4"/>
        <item h="1" x="9"/>
        <item h="1" x="3"/>
        <item h="1" x="2"/>
        <item h="1" x="0"/>
        <item t="default"/>
      </items>
    </pivotField>
    <pivotField numFmtId="14" showAll="0">
      <items count="121">
        <item x="0"/>
        <item x="1"/>
        <item x="2"/>
        <item x="7"/>
        <item x="3"/>
        <item x="8"/>
        <item x="4"/>
        <item x="9"/>
        <item x="5"/>
        <item x="14"/>
        <item x="10"/>
        <item x="6"/>
        <item x="15"/>
        <item x="11"/>
        <item x="16"/>
        <item x="12"/>
        <item x="21"/>
        <item x="17"/>
        <item x="13"/>
        <item x="22"/>
        <item x="18"/>
        <item x="23"/>
        <item x="19"/>
        <item x="28"/>
        <item x="24"/>
        <item x="20"/>
        <item x="29"/>
        <item x="25"/>
        <item x="30"/>
        <item x="26"/>
        <item x="35"/>
        <item x="31"/>
        <item x="27"/>
        <item x="36"/>
        <item x="32"/>
        <item x="37"/>
        <item x="33"/>
        <item x="42"/>
        <item x="38"/>
        <item x="34"/>
        <item x="43"/>
        <item x="39"/>
        <item x="44"/>
        <item x="40"/>
        <item x="49"/>
        <item x="45"/>
        <item x="41"/>
        <item x="50"/>
        <item x="46"/>
        <item x="51"/>
        <item x="47"/>
        <item x="56"/>
        <item x="52"/>
        <item x="48"/>
        <item x="57"/>
        <item x="53"/>
        <item x="58"/>
        <item x="54"/>
        <item x="63"/>
        <item x="59"/>
        <item x="55"/>
        <item x="64"/>
        <item x="60"/>
        <item x="65"/>
        <item x="61"/>
        <item x="70"/>
        <item x="66"/>
        <item x="62"/>
        <item x="71"/>
        <item x="67"/>
        <item x="72"/>
        <item x="68"/>
        <item x="77"/>
        <item x="73"/>
        <item x="69"/>
        <item x="78"/>
        <item x="74"/>
        <item x="79"/>
        <item x="75"/>
        <item x="84"/>
        <item x="80"/>
        <item x="76"/>
        <item x="85"/>
        <item x="81"/>
        <item x="86"/>
        <item x="82"/>
        <item x="91"/>
        <item x="87"/>
        <item x="83"/>
        <item x="92"/>
        <item x="88"/>
        <item x="93"/>
        <item x="89"/>
        <item x="98"/>
        <item x="94"/>
        <item x="90"/>
        <item x="99"/>
        <item x="95"/>
        <item x="100"/>
        <item x="96"/>
        <item x="105"/>
        <item x="101"/>
        <item x="97"/>
        <item x="106"/>
        <item x="102"/>
        <item x="107"/>
        <item x="103"/>
        <item x="112"/>
        <item x="108"/>
        <item x="104"/>
        <item x="113"/>
        <item x="109"/>
        <item x="114"/>
        <item x="110"/>
        <item x="119"/>
        <item x="115"/>
        <item x="111"/>
        <item x="116"/>
        <item x="117"/>
        <item x="118"/>
        <item t="default"/>
      </items>
    </pivotField>
    <pivotField numFmtId="14" showAll="0"/>
    <pivotField numFmtId="14" showAll="0"/>
    <pivotField numFmtId="1" showAll="0"/>
    <pivotField showAll="0"/>
  </pivotFields>
  <rowFields count="1">
    <field x="7"/>
  </rowFields>
  <rowItems count="2">
    <i>
      <x/>
    </i>
    <i>
      <x v="2"/>
    </i>
  </rowItems>
  <colItems count="1">
    <i/>
  </colItems>
  <dataFields count="1">
    <dataField name="MemberType" fld="7" subtotal="count" baseField="0" baseItem="0" numFmtId="10">
      <extLst>
        <ext xmlns:x14="http://schemas.microsoft.com/office/spreadsheetml/2009/9/main" uri="{E15A36E0-9728-4e99-A89B-3F7291B0FE68}">
          <x14:dataField pivotShowAs="percentOfParentRow"/>
        </ext>
      </extLst>
    </dataField>
  </dataFields>
  <formats count="9">
    <format dxfId="26">
      <pivotArea outline="0" collapsedLevelsAreSubtotals="1" fieldPosition="0"/>
    </format>
    <format dxfId="25">
      <pivotArea outline="0" fieldPosition="0">
        <references count="1">
          <reference field="4294967294" count="1">
            <x v="0"/>
          </reference>
        </references>
      </pivotArea>
    </format>
    <format dxfId="24">
      <pivotArea field="7" type="button" dataOnly="0" labelOnly="1" outline="0" axis="axisRow" fieldPosition="0"/>
    </format>
    <format dxfId="23">
      <pivotArea dataOnly="0" labelOnly="1" outline="0" axis="axisValues" fieldPosition="0"/>
    </format>
    <format dxfId="22">
      <pivotArea type="all" dataOnly="0" outline="0" fieldPosition="0"/>
    </format>
    <format dxfId="21">
      <pivotArea outline="0" collapsedLevelsAreSubtotals="1" fieldPosition="0"/>
    </format>
    <format dxfId="20">
      <pivotArea field="7" type="button" dataOnly="0" labelOnly="1" outline="0" axis="axisRow" fieldPosition="0"/>
    </format>
    <format dxfId="19">
      <pivotArea dataOnly="0" labelOnly="1" fieldPosition="0">
        <references count="1">
          <reference field="7" count="0"/>
        </references>
      </pivotArea>
    </format>
    <format dxfId="18">
      <pivotArea dataOnly="0" labelOnly="1" outline="0" axis="axisValues" fieldPosition="0"/>
    </format>
  </formats>
  <chartFormats count="4">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7" count="1" selected="0">
            <x v="0"/>
          </reference>
        </references>
      </pivotArea>
    </chartFormat>
    <chartFormat chart="5" format="12">
      <pivotArea type="data" outline="0" fieldPosition="0">
        <references count="2">
          <reference field="4294967294" count="1" selected="0">
            <x v="0"/>
          </reference>
          <reference field="7" count="1" selected="0">
            <x v="1"/>
          </reference>
        </references>
      </pivotArea>
    </chartFormat>
    <chartFormat chart="5" format="1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filters count="1">
    <filter fld="9" type="dateBetween" evalOrder="-1" id="120" name="Issue Date">
      <autoFilter ref="A1">
        <filterColumn colId="0">
          <customFilters and="1">
            <customFilter operator="greaterThanOrEqual" val="46023"/>
            <customFilter operator="lessThanOrEqual" val="46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E50901-8A80-4520-9BA4-1EAC3F485C4C}" name="PivotTable10"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4" rowHeaderCaption="Return Status ">
  <location ref="L14:M16" firstHeaderRow="1" firstDataRow="1" firstDataCol="1"/>
  <pivotFields count="14">
    <pivotField showAll="0"/>
    <pivotField showAll="0"/>
    <pivotField showAll="0"/>
    <pivotField showAll="0"/>
    <pivotField showAll="0">
      <items count="10">
        <item x="0"/>
        <item x="7"/>
        <item x="6"/>
        <item x="4"/>
        <item x="8"/>
        <item x="2"/>
        <item x="1"/>
        <item x="3"/>
        <item x="5"/>
        <item t="default"/>
      </items>
    </pivotField>
    <pivotField showAll="0"/>
    <pivotField showAll="0"/>
    <pivotField showAll="0">
      <items count="4">
        <item x="1"/>
        <item x="2"/>
        <item x="0"/>
        <item t="default"/>
      </items>
    </pivotField>
    <pivotField showAll="0">
      <items count="11">
        <item h="1" x="7"/>
        <item h="1" x="1"/>
        <item h="1" x="6"/>
        <item x="5"/>
        <item h="1" x="8"/>
        <item h="1" x="4"/>
        <item h="1" x="9"/>
        <item h="1" x="3"/>
        <item h="1" x="2"/>
        <item h="1" x="0"/>
        <item t="default"/>
      </items>
    </pivotField>
    <pivotField numFmtId="14" showAll="0">
      <items count="121">
        <item x="0"/>
        <item x="1"/>
        <item x="2"/>
        <item x="7"/>
        <item x="3"/>
        <item x="8"/>
        <item x="4"/>
        <item x="9"/>
        <item x="5"/>
        <item x="14"/>
        <item x="10"/>
        <item x="6"/>
        <item x="15"/>
        <item x="11"/>
        <item x="16"/>
        <item x="12"/>
        <item x="21"/>
        <item x="17"/>
        <item x="13"/>
        <item x="22"/>
        <item x="18"/>
        <item x="23"/>
        <item x="19"/>
        <item x="28"/>
        <item x="24"/>
        <item x="20"/>
        <item x="29"/>
        <item x="25"/>
        <item x="30"/>
        <item x="26"/>
        <item x="35"/>
        <item x="31"/>
        <item x="27"/>
        <item x="36"/>
        <item x="32"/>
        <item x="37"/>
        <item x="33"/>
        <item x="42"/>
        <item x="38"/>
        <item x="34"/>
        <item x="43"/>
        <item x="39"/>
        <item x="44"/>
        <item x="40"/>
        <item x="49"/>
        <item x="45"/>
        <item x="41"/>
        <item x="50"/>
        <item x="46"/>
        <item x="51"/>
        <item x="47"/>
        <item x="56"/>
        <item x="52"/>
        <item x="48"/>
        <item x="57"/>
        <item x="53"/>
        <item x="58"/>
        <item x="54"/>
        <item x="63"/>
        <item x="59"/>
        <item x="55"/>
        <item x="64"/>
        <item x="60"/>
        <item x="65"/>
        <item x="61"/>
        <item x="70"/>
        <item x="66"/>
        <item x="62"/>
        <item x="71"/>
        <item x="67"/>
        <item x="72"/>
        <item x="68"/>
        <item x="77"/>
        <item x="73"/>
        <item x="69"/>
        <item x="78"/>
        <item x="74"/>
        <item x="79"/>
        <item x="75"/>
        <item x="84"/>
        <item x="80"/>
        <item x="76"/>
        <item x="85"/>
        <item x="81"/>
        <item x="86"/>
        <item x="82"/>
        <item x="91"/>
        <item x="87"/>
        <item x="83"/>
        <item x="92"/>
        <item x="88"/>
        <item x="93"/>
        <item x="89"/>
        <item x="98"/>
        <item x="94"/>
        <item x="90"/>
        <item x="99"/>
        <item x="95"/>
        <item x="100"/>
        <item x="96"/>
        <item x="105"/>
        <item x="101"/>
        <item x="97"/>
        <item x="106"/>
        <item x="102"/>
        <item x="107"/>
        <item x="103"/>
        <item x="112"/>
        <item x="108"/>
        <item x="104"/>
        <item x="113"/>
        <item x="109"/>
        <item x="114"/>
        <item x="110"/>
        <item x="119"/>
        <item x="115"/>
        <item x="111"/>
        <item x="116"/>
        <item x="117"/>
        <item x="118"/>
        <item t="default"/>
      </items>
    </pivotField>
    <pivotField numFmtId="14" showAll="0"/>
    <pivotField numFmtId="14" showAll="0"/>
    <pivotField numFmtId="1" showAll="0"/>
    <pivotField axis="axisRow" dataField="1" showAll="0">
      <items count="3">
        <item x="1"/>
        <item x="0"/>
        <item t="default"/>
      </items>
    </pivotField>
  </pivotFields>
  <rowFields count="1">
    <field x="13"/>
  </rowFields>
  <rowItems count="2">
    <i>
      <x/>
    </i>
    <i>
      <x v="1"/>
    </i>
  </rowItems>
  <colItems count="1">
    <i/>
  </colItems>
  <dataFields count="1">
    <dataField name="ReturnBook" fld="13" subtotal="count" baseField="0" baseItem="0" numFmtId="10">
      <extLst>
        <ext xmlns:x14="http://schemas.microsoft.com/office/spreadsheetml/2009/9/main" uri="{E15A36E0-9728-4e99-A89B-3F7291B0FE68}">
          <x14:dataField pivotShowAs="percentOfParentRow"/>
        </ext>
      </extLst>
    </dataField>
  </dataFields>
  <formats count="6">
    <format dxfId="32">
      <pivotArea outline="0" collapsedLevelsAreSubtotals="1" fieldPosition="0"/>
    </format>
    <format dxfId="31">
      <pivotArea outline="0" fieldPosition="0">
        <references count="1">
          <reference field="4294967294" count="1">
            <x v="0"/>
          </reference>
        </references>
      </pivotArea>
    </format>
    <format dxfId="30">
      <pivotArea field="13" type="button" dataOnly="0" labelOnly="1" outline="0" axis="axisRow" fieldPosition="0"/>
    </format>
    <format dxfId="29">
      <pivotArea dataOnly="0" labelOnly="1" outline="0" axis="axisValues" fieldPosition="0"/>
    </format>
    <format dxfId="28">
      <pivotArea outline="0" collapsedLevelsAreSubtotals="1" fieldPosition="0"/>
    </format>
    <format dxfId="27">
      <pivotArea dataOnly="0" labelOnly="1" fieldPosition="0">
        <references count="1">
          <reference field="13" count="0"/>
        </references>
      </pivotArea>
    </format>
  </formats>
  <chartFormats count="4">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3" count="1" selected="0">
            <x v="0"/>
          </reference>
        </references>
      </pivotArea>
    </chartFormat>
    <chartFormat chart="3" format="6">
      <pivotArea type="data" outline="0" fieldPosition="0">
        <references count="2">
          <reference field="4294967294" count="1" selected="0">
            <x v="0"/>
          </reference>
          <reference field="13" count="1" selected="0">
            <x v="1"/>
          </reference>
        </references>
      </pivotArea>
    </chartFormat>
    <chartFormat chart="3"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20" name="Issue Date">
      <autoFilter ref="A1">
        <filterColumn colId="0">
          <customFilters and="1">
            <customFilter operator="greaterThanOrEqual" val="46023"/>
            <customFilter operator="lessThanOrEqual" val="46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204EE1-FAE3-4463-85BB-78A1C4BA8507}" name="PivotTable9"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3" rowHeaderCaption="Category ">
  <location ref="L2:M9" firstHeaderRow="1" firstDataRow="1" firstDataCol="1"/>
  <pivotFields count="14">
    <pivotField showAll="0"/>
    <pivotField showAll="0"/>
    <pivotField showAll="0"/>
    <pivotField showAll="0"/>
    <pivotField axis="axisRow" dataField="1" showAll="0">
      <items count="10">
        <item x="0"/>
        <item x="7"/>
        <item x="6"/>
        <item x="4"/>
        <item x="8"/>
        <item x="2"/>
        <item x="1"/>
        <item x="3"/>
        <item x="5"/>
        <item t="default"/>
      </items>
    </pivotField>
    <pivotField showAll="0"/>
    <pivotField showAll="0"/>
    <pivotField showAll="0">
      <items count="4">
        <item x="1"/>
        <item x="2"/>
        <item x="0"/>
        <item t="default"/>
      </items>
    </pivotField>
    <pivotField showAll="0">
      <items count="11">
        <item h="1" x="7"/>
        <item h="1" x="1"/>
        <item h="1" x="6"/>
        <item x="5"/>
        <item h="1" x="8"/>
        <item h="1" x="4"/>
        <item h="1" x="9"/>
        <item h="1" x="3"/>
        <item h="1" x="2"/>
        <item h="1" x="0"/>
        <item t="default"/>
      </items>
    </pivotField>
    <pivotField numFmtId="14" showAll="0">
      <items count="121">
        <item x="0"/>
        <item x="1"/>
        <item x="2"/>
        <item x="7"/>
        <item x="3"/>
        <item x="8"/>
        <item x="4"/>
        <item x="9"/>
        <item x="5"/>
        <item x="14"/>
        <item x="10"/>
        <item x="6"/>
        <item x="15"/>
        <item x="11"/>
        <item x="16"/>
        <item x="12"/>
        <item x="21"/>
        <item x="17"/>
        <item x="13"/>
        <item x="22"/>
        <item x="18"/>
        <item x="23"/>
        <item x="19"/>
        <item x="28"/>
        <item x="24"/>
        <item x="20"/>
        <item x="29"/>
        <item x="25"/>
        <item x="30"/>
        <item x="26"/>
        <item x="35"/>
        <item x="31"/>
        <item x="27"/>
        <item x="36"/>
        <item x="32"/>
        <item x="37"/>
        <item x="33"/>
        <item x="42"/>
        <item x="38"/>
        <item x="34"/>
        <item x="43"/>
        <item x="39"/>
        <item x="44"/>
        <item x="40"/>
        <item x="49"/>
        <item x="45"/>
        <item x="41"/>
        <item x="50"/>
        <item x="46"/>
        <item x="51"/>
        <item x="47"/>
        <item x="56"/>
        <item x="52"/>
        <item x="48"/>
        <item x="57"/>
        <item x="53"/>
        <item x="58"/>
        <item x="54"/>
        <item x="63"/>
        <item x="59"/>
        <item x="55"/>
        <item x="64"/>
        <item x="60"/>
        <item x="65"/>
        <item x="61"/>
        <item x="70"/>
        <item x="66"/>
        <item x="62"/>
        <item x="71"/>
        <item x="67"/>
        <item x="72"/>
        <item x="68"/>
        <item x="77"/>
        <item x="73"/>
        <item x="69"/>
        <item x="78"/>
        <item x="74"/>
        <item x="79"/>
        <item x="75"/>
        <item x="84"/>
        <item x="80"/>
        <item x="76"/>
        <item x="85"/>
        <item x="81"/>
        <item x="86"/>
        <item x="82"/>
        <item x="91"/>
        <item x="87"/>
        <item x="83"/>
        <item x="92"/>
        <item x="88"/>
        <item x="93"/>
        <item x="89"/>
        <item x="98"/>
        <item x="94"/>
        <item x="90"/>
        <item x="99"/>
        <item x="95"/>
        <item x="100"/>
        <item x="96"/>
        <item x="105"/>
        <item x="101"/>
        <item x="97"/>
        <item x="106"/>
        <item x="102"/>
        <item x="107"/>
        <item x="103"/>
        <item x="112"/>
        <item x="108"/>
        <item x="104"/>
        <item x="113"/>
        <item x="109"/>
        <item x="114"/>
        <item x="110"/>
        <item x="119"/>
        <item x="115"/>
        <item x="111"/>
        <item x="116"/>
        <item x="117"/>
        <item x="118"/>
        <item t="default"/>
      </items>
    </pivotField>
    <pivotField numFmtId="14" showAll="0"/>
    <pivotField numFmtId="14" showAll="0"/>
    <pivotField numFmtId="1" showAll="0"/>
    <pivotField showAll="0"/>
  </pivotFields>
  <rowFields count="1">
    <field x="4"/>
  </rowFields>
  <rowItems count="7">
    <i>
      <x v="2"/>
    </i>
    <i>
      <x v="3"/>
    </i>
    <i>
      <x v="4"/>
    </i>
    <i>
      <x v="5"/>
    </i>
    <i>
      <x v="6"/>
    </i>
    <i>
      <x v="7"/>
    </i>
    <i>
      <x v="8"/>
    </i>
  </rowItems>
  <colItems count="1">
    <i/>
  </colItems>
  <dataFields count="1">
    <dataField name="Count Transction" fld="4" subtotal="count" baseField="4" baseItem="2"/>
  </dataFields>
  <formats count="5">
    <format dxfId="37">
      <pivotArea outline="0" collapsedLevelsAreSubtotals="1" fieldPosition="0"/>
    </format>
    <format dxfId="36">
      <pivotArea field="4" type="button" dataOnly="0" labelOnly="1" outline="0" axis="axisRow" fieldPosition="0"/>
    </format>
    <format dxfId="35">
      <pivotArea dataOnly="0" labelOnly="1" outline="0" axis="axisValues" fieldPosition="0"/>
    </format>
    <format dxfId="34">
      <pivotArea outline="0" collapsedLevelsAreSubtotals="1" fieldPosition="0"/>
    </format>
    <format dxfId="33">
      <pivotArea dataOnly="0" labelOnly="1" fieldPosition="0">
        <references count="1">
          <reference field="4"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20" name="Issue Date">
      <autoFilter ref="A1">
        <filterColumn colId="0">
          <customFilters and="1">
            <customFilter operator="greaterThanOrEqual" val="46023"/>
            <customFilter operator="lessThanOrEqual" val="46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7DA39E-C4CC-4B4B-8D06-B597873A1E1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4">
    <pivotField showAll="0"/>
    <pivotField showAll="0"/>
    <pivotField showAll="0"/>
    <pivotField showAll="0"/>
    <pivotField showAll="0"/>
    <pivotField showAll="0"/>
    <pivotField showAll="0"/>
    <pivotField showAll="0"/>
    <pivotField showAll="0"/>
    <pivotField numFmtId="14" showAll="0"/>
    <pivotField numFmtId="14" showAll="0"/>
    <pivotField numFmtId="14" showAll="0"/>
    <pivotField dataField="1" numFmtId="1" showAll="0"/>
    <pivotField showAll="0"/>
  </pivotFields>
  <rowItems count="1">
    <i/>
  </rowItems>
  <colItems count="1">
    <i/>
  </colItems>
  <dataFields count="1">
    <dataField name="Average Borrowing Days" fld="12" subtotal="average" baseField="0" baseItem="0" numFmtId="1"/>
  </dataFields>
  <formats count="3">
    <format dxfId="40">
      <pivotArea outline="0" collapsedLevelsAreSubtotals="1" fieldPosition="0"/>
    </format>
    <format dxfId="39">
      <pivotArea dataOnly="0" labelOnly="1" outline="0" axis="axisValues" fieldPosition="0"/>
    </format>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B4E875-4C6F-4DA7-8806-4E0E9F17785F}" name="PivotTable8"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3" rowHeaderCaption="Book ">
  <location ref="H10:I20" firstHeaderRow="1" firstDataRow="1" firstDataCol="1"/>
  <pivotFields count="14">
    <pivotField dataField="1" showAll="0"/>
    <pivotField showAll="0"/>
    <pivotField axis="axisRow" showAll="0">
      <items count="21">
        <item x="19"/>
        <item x="7"/>
        <item x="6"/>
        <item x="9"/>
        <item x="12"/>
        <item x="13"/>
        <item x="8"/>
        <item x="14"/>
        <item x="3"/>
        <item x="1"/>
        <item x="17"/>
        <item x="16"/>
        <item x="18"/>
        <item x="11"/>
        <item x="15"/>
        <item x="5"/>
        <item x="2"/>
        <item x="4"/>
        <item x="10"/>
        <item x="0"/>
        <item t="default"/>
      </items>
    </pivotField>
    <pivotField showAll="0"/>
    <pivotField showAll="0">
      <items count="10">
        <item x="0"/>
        <item x="7"/>
        <item x="6"/>
        <item x="4"/>
        <item x="8"/>
        <item x="2"/>
        <item x="1"/>
        <item x="3"/>
        <item x="5"/>
        <item t="default"/>
      </items>
    </pivotField>
    <pivotField showAll="0"/>
    <pivotField showAll="0">
      <items count="21">
        <item x="14"/>
        <item x="0"/>
        <item x="2"/>
        <item x="1"/>
        <item x="16"/>
        <item x="9"/>
        <item x="15"/>
        <item x="12"/>
        <item x="18"/>
        <item x="5"/>
        <item x="3"/>
        <item x="4"/>
        <item x="17"/>
        <item x="10"/>
        <item x="19"/>
        <item x="13"/>
        <item x="11"/>
        <item x="8"/>
        <item x="6"/>
        <item x="7"/>
        <item t="default"/>
      </items>
    </pivotField>
    <pivotField showAll="0">
      <items count="4">
        <item x="1"/>
        <item x="2"/>
        <item x="0"/>
        <item t="default"/>
      </items>
    </pivotField>
    <pivotField showAll="0">
      <items count="11">
        <item h="1" x="7"/>
        <item h="1" x="1"/>
        <item h="1" x="6"/>
        <item x="5"/>
        <item h="1" x="8"/>
        <item h="1" x="4"/>
        <item h="1" x="9"/>
        <item h="1" x="3"/>
        <item h="1" x="2"/>
        <item h="1" x="0"/>
        <item t="default"/>
      </items>
    </pivotField>
    <pivotField numFmtId="14" showAll="0">
      <items count="121">
        <item x="0"/>
        <item x="1"/>
        <item x="2"/>
        <item x="7"/>
        <item x="3"/>
        <item x="8"/>
        <item x="4"/>
        <item x="9"/>
        <item x="5"/>
        <item x="14"/>
        <item x="10"/>
        <item x="6"/>
        <item x="15"/>
        <item x="11"/>
        <item x="16"/>
        <item x="12"/>
        <item x="21"/>
        <item x="17"/>
        <item x="13"/>
        <item x="22"/>
        <item x="18"/>
        <item x="23"/>
        <item x="19"/>
        <item x="28"/>
        <item x="24"/>
        <item x="20"/>
        <item x="29"/>
        <item x="25"/>
        <item x="30"/>
        <item x="26"/>
        <item x="35"/>
        <item x="31"/>
        <item x="27"/>
        <item x="36"/>
        <item x="32"/>
        <item x="37"/>
        <item x="33"/>
        <item x="42"/>
        <item x="38"/>
        <item x="34"/>
        <item x="43"/>
        <item x="39"/>
        <item x="44"/>
        <item x="40"/>
        <item x="49"/>
        <item x="45"/>
        <item x="41"/>
        <item x="50"/>
        <item x="46"/>
        <item x="51"/>
        <item x="47"/>
        <item x="56"/>
        <item x="52"/>
        <item x="48"/>
        <item x="57"/>
        <item x="53"/>
        <item x="58"/>
        <item x="54"/>
        <item x="63"/>
        <item x="59"/>
        <item x="55"/>
        <item x="64"/>
        <item x="60"/>
        <item x="65"/>
        <item x="61"/>
        <item x="70"/>
        <item x="66"/>
        <item x="62"/>
        <item x="71"/>
        <item x="67"/>
        <item x="72"/>
        <item x="68"/>
        <item x="77"/>
        <item x="73"/>
        <item x="69"/>
        <item x="78"/>
        <item x="74"/>
        <item x="79"/>
        <item x="75"/>
        <item x="84"/>
        <item x="80"/>
        <item x="76"/>
        <item x="85"/>
        <item x="81"/>
        <item x="86"/>
        <item x="82"/>
        <item x="91"/>
        <item x="87"/>
        <item x="83"/>
        <item x="92"/>
        <item x="88"/>
        <item x="93"/>
        <item x="89"/>
        <item x="98"/>
        <item x="94"/>
        <item x="90"/>
        <item x="99"/>
        <item x="95"/>
        <item x="100"/>
        <item x="96"/>
        <item x="105"/>
        <item x="101"/>
        <item x="97"/>
        <item x="106"/>
        <item x="102"/>
        <item x="107"/>
        <item x="103"/>
        <item x="112"/>
        <item x="108"/>
        <item x="104"/>
        <item x="113"/>
        <item x="109"/>
        <item x="114"/>
        <item x="110"/>
        <item x="119"/>
        <item x="115"/>
        <item x="111"/>
        <item x="116"/>
        <item x="117"/>
        <item x="118"/>
        <item t="default"/>
      </items>
    </pivotField>
    <pivotField numFmtId="14" showAll="0"/>
    <pivotField numFmtId="14" showAll="0"/>
    <pivotField numFmtId="1" showAll="0"/>
    <pivotField showAll="0"/>
  </pivotFields>
  <rowFields count="1">
    <field x="2"/>
  </rowFields>
  <rowItems count="10">
    <i>
      <x/>
    </i>
    <i>
      <x v="1"/>
    </i>
    <i>
      <x v="2"/>
    </i>
    <i>
      <x v="4"/>
    </i>
    <i>
      <x v="6"/>
    </i>
    <i>
      <x v="8"/>
    </i>
    <i>
      <x v="10"/>
    </i>
    <i>
      <x v="13"/>
    </i>
    <i>
      <x v="14"/>
    </i>
    <i>
      <x v="16"/>
    </i>
  </rowItems>
  <colItems count="1">
    <i/>
  </colItems>
  <dataFields count="1">
    <dataField name="Transaction" fld="0" subtotal="count" baseField="2" baseItem="1"/>
  </dataFields>
  <formats count="6">
    <format dxfId="46">
      <pivotArea outline="0" collapsedLevelsAreSubtotals="1" fieldPosition="0"/>
    </format>
    <format dxfId="45">
      <pivotArea field="2" type="button" dataOnly="0" labelOnly="1" outline="0" axis="axisRow" fieldPosition="0"/>
    </format>
    <format dxfId="44">
      <pivotArea dataOnly="0" labelOnly="1" outline="0" axis="axisValues" fieldPosition="0"/>
    </format>
    <format dxfId="43">
      <pivotArea outline="0" collapsedLevelsAreSubtotals="1" fieldPosition="0"/>
    </format>
    <format dxfId="42">
      <pivotArea field="4" type="button" dataOnly="0" labelOnly="1" outline="0"/>
    </format>
    <format dxfId="41">
      <pivotArea dataOnly="0" labelOnly="1" fieldPosition="0">
        <references count="1">
          <reference field="2" count="10">
            <x v="0"/>
            <x v="1"/>
            <x v="2"/>
            <x v="4"/>
            <x v="6"/>
            <x v="8"/>
            <x v="10"/>
            <x v="13"/>
            <x v="14"/>
            <x v="16"/>
          </reference>
        </references>
      </pivotArea>
    </format>
  </format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20" name="Issue Date">
      <autoFilter ref="A1">
        <filterColumn colId="0">
          <customFilters and="1">
            <customFilter operator="greaterThanOrEqual" val="46023"/>
            <customFilter operator="lessThanOrEqual" val="46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612A24-F988-475C-978B-6D0DF5B8C96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4">
    <pivotField showAll="0"/>
    <pivotField dataField="1" showAll="0"/>
    <pivotField showAll="0"/>
    <pivotField showAll="0"/>
    <pivotField showAll="0"/>
    <pivotField showAll="0"/>
    <pivotField showAll="0"/>
    <pivotField showAll="0"/>
    <pivotField showAll="0"/>
    <pivotField numFmtId="14" showAll="0"/>
    <pivotField numFmtId="14" showAll="0"/>
    <pivotField numFmtId="14" showAll="0"/>
    <pivotField numFmtId="1" showAll="0"/>
    <pivotField showAll="0"/>
  </pivotFields>
  <rowItems count="1">
    <i/>
  </rowItems>
  <colItems count="1">
    <i/>
  </colItems>
  <dataFields count="1">
    <dataField name="Total Book" fld="1" subtotal="count" baseField="0" baseItem="0"/>
  </dataFields>
  <formats count="2">
    <format dxfId="48">
      <pivotArea dataOnly="0" labelOnly="1" outline="0" axis="axisValues" fieldPosition="0"/>
    </format>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7441FEA-B5C4-414B-8AEC-B3F890AD5918}" autoFormatId="16" applyNumberFormats="0" applyBorderFormats="0" applyFontFormats="0" applyPatternFormats="0" applyAlignmentFormats="0" applyWidthHeightFormats="0">
  <queryTableRefresh nextId="18" unboundColumnsRight="3">
    <queryTableFields count="15">
      <queryTableField id="1" name="Transaction ID" tableColumnId="1"/>
      <queryTableField id="2" name="Book ID" tableColumnId="2"/>
      <queryTableField id="3" name="Book Title" tableColumnId="3"/>
      <queryTableField id="4" name="Author" tableColumnId="4"/>
      <queryTableField id="5" name="Category" tableColumnId="5"/>
      <queryTableField id="6" name="Member ID" tableColumnId="6"/>
      <queryTableField id="7" name="Member Name" tableColumnId="7"/>
      <queryTableField id="8" name="Member Type" tableColumnId="8"/>
      <queryTableField id="9" name="Department" tableColumnId="9"/>
      <queryTableField id="10" name="Issue Date" tableColumnId="10"/>
      <queryTableField id="11" name="Due Date" tableColumnId="11"/>
      <queryTableField id="12" name="Return Date" tableColumnId="12"/>
      <queryTableField id="15" dataBound="0" tableColumnId="13"/>
      <queryTableField id="16" dataBound="0" tableColumnId="14"/>
      <queryTableField id="17" dataBound="0" tableColumnId="15"/>
    </queryTableFields>
    <queryTableDeletedFields count="2">
      <deletedField name="Fine (INR)"/>
      <deletedField name="Status"/>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4BE1925-AF0E-40AE-B095-0387241E8F2E}" sourceName="Department">
  <pivotTables>
    <pivotTable tabId="3" name="PivotTable5"/>
    <pivotTable tabId="3" name="PivotTable10"/>
    <pivotTable tabId="3" name="PivotTable4"/>
    <pivotTable tabId="3" name="PivotTable6"/>
    <pivotTable tabId="3" name="PivotTable8"/>
    <pivotTable tabId="3" name="PivotTable9"/>
  </pivotTables>
  <data>
    <tabular pivotCacheId="749344393">
      <items count="10">
        <i x="7"/>
        <i x="1"/>
        <i x="6"/>
        <i x="5" s="1"/>
        <i x="8"/>
        <i x="4"/>
        <i x="9"/>
        <i x="3"/>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82C27E0-377D-49AC-A3C1-557A897DD4CC}" cache="Slicer_Department" caption="Department" showCaption="0" style="SlicerStyleDark5"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CD88FF-E18F-4BAB-A5A4-3FF3851474FA}" name="Data" displayName="Data" ref="A1:O121" tableType="queryTable" totalsRowShown="0">
  <autoFilter ref="A1:O121" xr:uid="{87CD88FF-E18F-4BAB-A5A4-3FF3851474FA}"/>
  <tableColumns count="15">
    <tableColumn id="1" xr3:uid="{D36B1556-9F4E-4917-8545-BA73E86F0396}" uniqueName="1" name="Transaction ID" queryTableFieldId="1"/>
    <tableColumn id="2" xr3:uid="{2D56100F-2861-49C1-871F-26B60DD0ABA1}" uniqueName="2" name="Book ID" queryTableFieldId="2"/>
    <tableColumn id="3" xr3:uid="{339D40AF-002F-45F1-8EA5-7ECCC7A97612}" uniqueName="3" name="Book Title" queryTableFieldId="3" dataDxfId="60"/>
    <tableColumn id="4" xr3:uid="{0BBD19CE-B6D7-4235-B86D-77C2B27CCB0F}" uniqueName="4" name="Author" queryTableFieldId="4" dataDxfId="59"/>
    <tableColumn id="5" xr3:uid="{A1C507A8-A0BC-47AF-9661-D59729C15D10}" uniqueName="5" name="Category" queryTableFieldId="5" dataDxfId="58"/>
    <tableColumn id="6" xr3:uid="{0197E0C9-B2B2-4E72-BC6D-BB48C3480C98}" uniqueName="6" name="Member ID" queryTableFieldId="6"/>
    <tableColumn id="7" xr3:uid="{7E6AF523-DFEF-458C-BFD8-ADAEDBA30D30}" uniqueName="7" name="Member Name" queryTableFieldId="7" dataDxfId="57"/>
    <tableColumn id="8" xr3:uid="{4C096F14-49EE-455C-A993-280A9FF90F5F}" uniqueName="8" name="Member Type" queryTableFieldId="8" dataDxfId="56"/>
    <tableColumn id="9" xr3:uid="{6B508ACC-4A71-460F-8B2B-5541D39A576B}" uniqueName="9" name="Department" queryTableFieldId="9" dataDxfId="55"/>
    <tableColumn id="10" xr3:uid="{548754E2-A49D-4BF2-8DB0-8D2D005D8281}" uniqueName="10" name="Issue Date" queryTableFieldId="10" dataDxfId="54"/>
    <tableColumn id="11" xr3:uid="{DC4DFC49-4259-475A-966A-9041005FA71A}" uniqueName="11" name="Due Date" queryTableFieldId="11" dataDxfId="53"/>
    <tableColumn id="12" xr3:uid="{EA00A377-9656-4D55-886C-4BB7943C7CA1}" uniqueName="12" name="Return Date" queryTableFieldId="12" dataDxfId="52"/>
    <tableColumn id="13" xr3:uid="{4FFE2B69-B251-4618-B7EA-39F4DDBD41CC}" uniqueName="13" name="Days " queryTableFieldId="15" dataDxfId="51">
      <calculatedColumnFormula>DATEDIF(Data[[#This Row],[Issue Date]],Data[[#This Row],[Due Date]],"d")</calculatedColumnFormula>
    </tableColumn>
    <tableColumn id="14" xr3:uid="{B78E32DE-A21E-4C93-AD19-D7250A90E32D}" uniqueName="14" name="Return Book" queryTableFieldId="16" dataDxfId="50">
      <calculatedColumnFormula>IF(Data[[#This Row],[Due Date]]&lt;&gt;Data[[#This Row],[Return Date]],"Late Return","Return Book")</calculatedColumnFormula>
    </tableColumn>
    <tableColumn id="15" xr3:uid="{96E36727-418D-4F26-BF25-FB05F4E99E65}" uniqueName="15" name="Month" queryTableFieldId="17" dataDxfId="49">
      <calculatedColumnFormula>TEXT(Data[[#This Row],[Issue Date]],"mmmm")</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ssue_Date" xr10:uid="{05686EA2-126A-471B-9D27-0EC5762E3901}" sourceName="Issue Date">
  <pivotTables>
    <pivotTable tabId="3" name="PivotTable5"/>
    <pivotTable tabId="3" name="PivotTable10"/>
    <pivotTable tabId="3" name="PivotTable4"/>
    <pivotTable tabId="3" name="PivotTable6"/>
    <pivotTable tabId="3" name="PivotTable8"/>
    <pivotTable tabId="3" name="PivotTable9"/>
  </pivotTables>
  <state minimalRefreshVersion="6" lastRefreshVersion="6" pivotCacheId="749344393" filterType="dateBetween">
    <selection startDate="2026-01-01T00:00:00" endDate="2026-06-30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ssue Date" xr10:uid="{EEDF185E-DFF8-4021-8EA7-667DCF972CAE}" cache="NativeTimeline_Issue_Date" caption="Issue Date" showHeader="0" showSelectionLabel="0" showTimeLevel="0" level="2" selectionLevel="1" scrollPosition="2026-01-01T00:00:00" style="TimeSlicerStyleLight5 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926C6-5A5D-4D9A-9C35-3D41D21099A4}">
  <dimension ref="A1"/>
  <sheetViews>
    <sheetView showGridLines="0" zoomScaleNormal="100" workbookViewId="0">
      <selection activeCell="C42" sqref="C42"/>
    </sheetView>
  </sheetViews>
  <sheetFormatPr defaultRowHeight="15" x14ac:dyDescent="0.25"/>
  <cols>
    <col min="1" max="16384" width="9.140625" style="3"/>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F8567-011F-449E-B0C4-9DC9F0B3043E}">
  <dimension ref="A1:O88"/>
  <sheetViews>
    <sheetView tabSelected="1" topLeftCell="A76" workbookViewId="0">
      <selection activeCell="D59" sqref="D59"/>
    </sheetView>
  </sheetViews>
  <sheetFormatPr defaultRowHeight="15" x14ac:dyDescent="0.25"/>
  <cols>
    <col min="1" max="1" width="36.85546875" customWidth="1"/>
    <col min="2" max="2" width="28" customWidth="1"/>
    <col min="3" max="3" width="37.5703125" customWidth="1"/>
    <col min="4" max="4" width="23.85546875" customWidth="1"/>
    <col min="5" max="5" width="29.7109375" customWidth="1"/>
    <col min="6" max="6" width="17.140625" customWidth="1"/>
    <col min="9" max="9" width="17.85546875" customWidth="1"/>
    <col min="10" max="10" width="17" customWidth="1"/>
    <col min="11" max="11" width="15.7109375" customWidth="1"/>
    <col min="12" max="12" width="13.5703125" customWidth="1"/>
    <col min="13" max="13" width="15.5703125" customWidth="1"/>
    <col min="14" max="14" width="12.7109375" customWidth="1"/>
    <col min="15" max="15" width="18" customWidth="1"/>
  </cols>
  <sheetData>
    <row r="1" spans="1:15" x14ac:dyDescent="0.25">
      <c r="A1" s="17" t="s">
        <v>109</v>
      </c>
    </row>
    <row r="3" spans="1:15" x14ac:dyDescent="0.25">
      <c r="A3" s="32" t="s">
        <v>101</v>
      </c>
      <c r="B3" s="28" t="s">
        <v>85</v>
      </c>
    </row>
    <row r="4" spans="1:15" x14ac:dyDescent="0.25">
      <c r="A4" s="6"/>
      <c r="B4" s="6"/>
    </row>
    <row r="5" spans="1:15" x14ac:dyDescent="0.25">
      <c r="A5" s="18" t="s">
        <v>0</v>
      </c>
      <c r="B5" s="18" t="s">
        <v>1</v>
      </c>
      <c r="C5" s="18" t="s">
        <v>2</v>
      </c>
      <c r="D5" s="18" t="s">
        <v>3</v>
      </c>
      <c r="E5" s="18" t="s">
        <v>4</v>
      </c>
      <c r="F5" s="18" t="s">
        <v>5</v>
      </c>
      <c r="G5" s="18" t="s">
        <v>6</v>
      </c>
      <c r="H5" s="18" t="s">
        <v>7</v>
      </c>
      <c r="I5" s="18" t="s">
        <v>8</v>
      </c>
      <c r="J5" s="19" t="s">
        <v>9</v>
      </c>
      <c r="K5" s="19" t="s">
        <v>10</v>
      </c>
      <c r="L5" s="19" t="s">
        <v>11</v>
      </c>
      <c r="M5" s="20" t="s">
        <v>93</v>
      </c>
      <c r="N5" s="18" t="s">
        <v>94</v>
      </c>
      <c r="O5" s="18" t="s">
        <v>100</v>
      </c>
    </row>
    <row r="6" spans="1:15" x14ac:dyDescent="0.25">
      <c r="A6" cm="1">
        <f t="array" ref="A6:O9">_xlfn._xlws.FILTER(Data[],Data[Author]=Analysis!B3,"Not Found")</f>
        <v>5023</v>
      </c>
      <c r="B6">
        <v>102</v>
      </c>
      <c r="C6" t="str">
        <v>The Alchemist</v>
      </c>
      <c r="D6" t="str">
        <v>Paulo Coelho</v>
      </c>
      <c r="E6" t="str">
        <v>Fiction</v>
      </c>
      <c r="F6">
        <v>2011</v>
      </c>
      <c r="G6" t="str">
        <v>Ishaan Pandya</v>
      </c>
      <c r="H6" t="str">
        <v>Student</v>
      </c>
      <c r="I6" t="str">
        <v>Computer Science</v>
      </c>
      <c r="J6" s="2">
        <v>46070</v>
      </c>
      <c r="K6" s="2">
        <v>46084</v>
      </c>
      <c r="L6" s="2">
        <v>46082</v>
      </c>
      <c r="M6">
        <v>14</v>
      </c>
      <c r="N6" t="str">
        <v>Late Return</v>
      </c>
      <c r="O6" t="str">
        <v>February</v>
      </c>
    </row>
    <row r="7" spans="1:15" x14ac:dyDescent="0.25">
      <c r="A7">
        <v>5053</v>
      </c>
      <c r="B7">
        <v>102</v>
      </c>
      <c r="C7" t="str">
        <v>The Alchemist</v>
      </c>
      <c r="D7" t="str">
        <v>Paulo Coelho</v>
      </c>
      <c r="E7" t="str">
        <v>Fiction</v>
      </c>
      <c r="F7">
        <v>2007</v>
      </c>
      <c r="G7" t="str">
        <v>Advik Shah</v>
      </c>
      <c r="H7" t="str">
        <v>Faculty</v>
      </c>
      <c r="I7" t="str">
        <v>Mathematics</v>
      </c>
      <c r="J7" s="2">
        <v>46136</v>
      </c>
      <c r="K7" s="2">
        <v>46157</v>
      </c>
      <c r="L7" s="2">
        <v>46155</v>
      </c>
      <c r="M7">
        <v>21</v>
      </c>
      <c r="N7" t="str">
        <v>Late Return</v>
      </c>
      <c r="O7" t="str">
        <v>April</v>
      </c>
    </row>
    <row r="8" spans="1:15" x14ac:dyDescent="0.25">
      <c r="A8">
        <v>5083</v>
      </c>
      <c r="B8">
        <v>102</v>
      </c>
      <c r="C8" t="str">
        <v>The Alchemist</v>
      </c>
      <c r="D8" t="str">
        <v>Paulo Coelho</v>
      </c>
      <c r="E8" t="str">
        <v>Fiction</v>
      </c>
      <c r="F8">
        <v>2003</v>
      </c>
      <c r="G8" t="str">
        <v>Vivaan Mehta</v>
      </c>
      <c r="H8" t="str">
        <v>Faculty</v>
      </c>
      <c r="I8" t="str">
        <v>Computer Science</v>
      </c>
      <c r="J8" s="2">
        <v>46202</v>
      </c>
      <c r="K8" s="2">
        <v>46209</v>
      </c>
      <c r="L8" s="2">
        <v>46207</v>
      </c>
      <c r="M8">
        <v>7</v>
      </c>
      <c r="N8" t="str">
        <v>Late Return</v>
      </c>
      <c r="O8" t="str">
        <v>June</v>
      </c>
    </row>
    <row r="9" spans="1:15" x14ac:dyDescent="0.25">
      <c r="A9">
        <v>5113</v>
      </c>
      <c r="B9">
        <v>102</v>
      </c>
      <c r="C9" t="str">
        <v>The Alchemist</v>
      </c>
      <c r="D9" t="str">
        <v>Paulo Coelho</v>
      </c>
      <c r="E9" t="str">
        <v>Fiction</v>
      </c>
      <c r="F9">
        <v>2019</v>
      </c>
      <c r="G9" t="str">
        <v>Rudra Gohil</v>
      </c>
      <c r="H9" t="str">
        <v>Student</v>
      </c>
      <c r="I9" t="str">
        <v>Science</v>
      </c>
      <c r="J9" s="2">
        <v>46247</v>
      </c>
      <c r="K9" s="2">
        <v>46254</v>
      </c>
      <c r="L9" s="2">
        <v>46252</v>
      </c>
      <c r="M9">
        <v>7</v>
      </c>
      <c r="N9" t="str">
        <v>Late Return</v>
      </c>
      <c r="O9" t="str">
        <v>August</v>
      </c>
    </row>
    <row r="10" spans="1:15" x14ac:dyDescent="0.25">
      <c r="J10" s="2"/>
      <c r="K10" s="2"/>
      <c r="L10" s="2"/>
    </row>
    <row r="11" spans="1:15" x14ac:dyDescent="0.25">
      <c r="J11" s="2"/>
      <c r="K11" s="2"/>
      <c r="L11" s="2"/>
    </row>
    <row r="12" spans="1:15" x14ac:dyDescent="0.25">
      <c r="J12" s="2"/>
      <c r="K12" s="2"/>
      <c r="L12" s="2"/>
    </row>
    <row r="13" spans="1:15" x14ac:dyDescent="0.25">
      <c r="J13" s="2"/>
      <c r="K13" s="2"/>
      <c r="L13" s="2"/>
    </row>
    <row r="14" spans="1:15" x14ac:dyDescent="0.25">
      <c r="J14" s="2"/>
      <c r="K14" s="2"/>
      <c r="L14" s="2"/>
    </row>
    <row r="15" spans="1:15" x14ac:dyDescent="0.25">
      <c r="J15" s="2"/>
      <c r="K15" s="2"/>
      <c r="L15" s="2"/>
    </row>
    <row r="16" spans="1:15" x14ac:dyDescent="0.25">
      <c r="J16" s="2"/>
      <c r="K16" s="2"/>
      <c r="L16" s="2"/>
    </row>
    <row r="17" spans="1:12" x14ac:dyDescent="0.25">
      <c r="J17" s="2"/>
      <c r="K17" s="2"/>
      <c r="L17" s="2"/>
    </row>
    <row r="18" spans="1:12" x14ac:dyDescent="0.25">
      <c r="A18" s="17" t="s">
        <v>118</v>
      </c>
      <c r="J18" s="2"/>
      <c r="K18" s="2"/>
      <c r="L18" s="2"/>
    </row>
    <row r="19" spans="1:12" x14ac:dyDescent="0.25">
      <c r="J19" s="2"/>
      <c r="K19" s="2"/>
      <c r="L19" s="2"/>
    </row>
    <row r="20" spans="1:12" x14ac:dyDescent="0.25">
      <c r="A20" s="25" t="s">
        <v>119</v>
      </c>
      <c r="B20" s="5">
        <v>5001</v>
      </c>
    </row>
    <row r="22" spans="1:12" x14ac:dyDescent="0.25">
      <c r="A22" s="21" t="s">
        <v>0</v>
      </c>
      <c r="B22" s="7" cm="1">
        <f t="array" ref="B22:B36">TRANSPOSE(_xlfn.XLOOKUP($B$20,Data[Transaction ID],Data[]))</f>
        <v>5001</v>
      </c>
    </row>
    <row r="23" spans="1:12" x14ac:dyDescent="0.25">
      <c r="A23" s="21" t="s">
        <v>1</v>
      </c>
      <c r="B23" s="7">
        <v>101</v>
      </c>
    </row>
    <row r="24" spans="1:12" x14ac:dyDescent="0.25">
      <c r="A24" s="21" t="s">
        <v>2</v>
      </c>
      <c r="B24" s="7" t="str">
        <v>Wings of Fire</v>
      </c>
    </row>
    <row r="25" spans="1:12" x14ac:dyDescent="0.25">
      <c r="A25" s="21" t="s">
        <v>3</v>
      </c>
      <c r="B25" s="7" t="str">
        <v>A. P. J. Abdul Kalam</v>
      </c>
    </row>
    <row r="26" spans="1:12" x14ac:dyDescent="0.25">
      <c r="A26" s="21" t="s">
        <v>4</v>
      </c>
      <c r="B26" s="7" t="str">
        <v>Biography</v>
      </c>
    </row>
    <row r="27" spans="1:12" x14ac:dyDescent="0.25">
      <c r="A27" s="21" t="s">
        <v>5</v>
      </c>
      <c r="B27" s="7">
        <v>2001</v>
      </c>
    </row>
    <row r="28" spans="1:12" x14ac:dyDescent="0.25">
      <c r="A28" s="21" t="s">
        <v>6</v>
      </c>
      <c r="B28" s="7" t="str">
        <v>Aarav Shah</v>
      </c>
    </row>
    <row r="29" spans="1:12" x14ac:dyDescent="0.25">
      <c r="A29" s="21" t="s">
        <v>7</v>
      </c>
      <c r="B29" s="7" t="str">
        <v>Student</v>
      </c>
    </row>
    <row r="30" spans="1:12" x14ac:dyDescent="0.25">
      <c r="A30" s="21" t="s">
        <v>8</v>
      </c>
      <c r="B30" s="7" t="str">
        <v>Science</v>
      </c>
    </row>
    <row r="31" spans="1:12" x14ac:dyDescent="0.25">
      <c r="A31" s="22" t="s">
        <v>9</v>
      </c>
      <c r="B31" s="8">
        <v>46023</v>
      </c>
    </row>
    <row r="32" spans="1:12" x14ac:dyDescent="0.25">
      <c r="A32" s="22" t="s">
        <v>10</v>
      </c>
      <c r="B32" s="8">
        <v>46030</v>
      </c>
    </row>
    <row r="33" spans="1:2" x14ac:dyDescent="0.25">
      <c r="A33" s="22" t="s">
        <v>11</v>
      </c>
      <c r="B33" s="8">
        <v>46030</v>
      </c>
    </row>
    <row r="34" spans="1:2" x14ac:dyDescent="0.25">
      <c r="A34" s="23" t="s">
        <v>93</v>
      </c>
      <c r="B34" s="7">
        <v>7</v>
      </c>
    </row>
    <row r="35" spans="1:2" x14ac:dyDescent="0.25">
      <c r="A35" s="21" t="s">
        <v>94</v>
      </c>
      <c r="B35" s="7" t="str">
        <v>Return Book</v>
      </c>
    </row>
    <row r="36" spans="1:2" x14ac:dyDescent="0.25">
      <c r="A36" s="21" t="s">
        <v>100</v>
      </c>
      <c r="B36" s="7" t="str">
        <v>January</v>
      </c>
    </row>
    <row r="39" spans="1:2" x14ac:dyDescent="0.25">
      <c r="A39" s="17" t="s">
        <v>120</v>
      </c>
    </row>
    <row r="41" spans="1:2" x14ac:dyDescent="0.25">
      <c r="A41" s="25" t="s">
        <v>104</v>
      </c>
      <c r="B41" s="5">
        <v>5002</v>
      </c>
    </row>
    <row r="43" spans="1:2" x14ac:dyDescent="0.25">
      <c r="A43" s="24" t="s">
        <v>105</v>
      </c>
      <c r="B43" s="9">
        <f>VLOOKUP($B$41,Data[],1,FALSE)</f>
        <v>5002</v>
      </c>
    </row>
    <row r="44" spans="1:2" x14ac:dyDescent="0.25">
      <c r="A44" s="24" t="s">
        <v>106</v>
      </c>
      <c r="B44" s="9" t="str">
        <f>VLOOKUP($B$41,Data[],3,FALSE)</f>
        <v>Sapiens</v>
      </c>
    </row>
    <row r="45" spans="1:2" x14ac:dyDescent="0.25">
      <c r="A45" s="24" t="s">
        <v>107</v>
      </c>
      <c r="B45" s="26" t="str">
        <f>VLOOKUP($B$41,Data[],14,FALSE)</f>
        <v>Late Return</v>
      </c>
    </row>
    <row r="51" spans="1:3" x14ac:dyDescent="0.25">
      <c r="A51" s="33" t="s">
        <v>121</v>
      </c>
    </row>
    <row r="53" spans="1:3" x14ac:dyDescent="0.25">
      <c r="A53" s="27" t="s">
        <v>100</v>
      </c>
      <c r="B53" s="27" t="s">
        <v>122</v>
      </c>
      <c r="C53" s="27" t="s">
        <v>123</v>
      </c>
    </row>
    <row r="54" spans="1:3" x14ac:dyDescent="0.25">
      <c r="A54" s="5" t="str" cm="1">
        <f t="array" ref="A54:A62">_xlfn.UNIQUE(Data[Month])</f>
        <v>January</v>
      </c>
      <c r="B54" s="29">
        <f>COUNTIF(Data[Month],Analysis!$A54)</f>
        <v>12</v>
      </c>
      <c r="C54" s="30" t="s">
        <v>110</v>
      </c>
    </row>
    <row r="55" spans="1:3" x14ac:dyDescent="0.25">
      <c r="A55" s="5" t="str">
        <v>February</v>
      </c>
      <c r="B55" s="29">
        <f>COUNTIF(Data[Month],Analysis!$A55)</f>
        <v>14</v>
      </c>
      <c r="C55" s="31">
        <f>(B55-B54)/B54</f>
        <v>0.16666666666666666</v>
      </c>
    </row>
    <row r="56" spans="1:3" x14ac:dyDescent="0.25">
      <c r="A56" s="5" t="str">
        <v>March</v>
      </c>
      <c r="B56" s="29">
        <f>COUNTIF(Data[Month],Analysis!$A56)</f>
        <v>15</v>
      </c>
      <c r="C56" s="31">
        <f t="shared" ref="C56:C62" si="0">(B56-B55)/B55</f>
        <v>7.1428571428571425E-2</v>
      </c>
    </row>
    <row r="57" spans="1:3" x14ac:dyDescent="0.25">
      <c r="A57" s="5" t="str">
        <v>April</v>
      </c>
      <c r="B57" s="29">
        <f>COUNTIF(Data[Month],Analysis!$A57)</f>
        <v>15</v>
      </c>
      <c r="C57" s="31">
        <f t="shared" si="0"/>
        <v>0</v>
      </c>
    </row>
    <row r="58" spans="1:3" x14ac:dyDescent="0.25">
      <c r="A58" s="5" t="str">
        <v>May</v>
      </c>
      <c r="B58" s="29">
        <f>COUNTIF(Data[Month],Analysis!$A58)</f>
        <v>15</v>
      </c>
      <c r="C58" s="31">
        <f t="shared" si="0"/>
        <v>0</v>
      </c>
    </row>
    <row r="59" spans="1:3" x14ac:dyDescent="0.25">
      <c r="A59" s="5" t="str">
        <v>June</v>
      </c>
      <c r="B59" s="29">
        <f>COUNTIF(Data[Month],Analysis!$A59)</f>
        <v>15</v>
      </c>
      <c r="C59" s="31">
        <f t="shared" si="0"/>
        <v>0</v>
      </c>
    </row>
    <row r="60" spans="1:3" x14ac:dyDescent="0.25">
      <c r="A60" s="5" t="str">
        <v>July</v>
      </c>
      <c r="B60" s="29">
        <f>COUNTIF(Data[Month],Analysis!$A60)</f>
        <v>16</v>
      </c>
      <c r="C60" s="31">
        <f t="shared" si="0"/>
        <v>6.6666666666666666E-2</v>
      </c>
    </row>
    <row r="61" spans="1:3" x14ac:dyDescent="0.25">
      <c r="A61" s="5" t="str">
        <v>August</v>
      </c>
      <c r="B61" s="29">
        <f>COUNTIF(Data[Month],Analysis!$A61)</f>
        <v>15</v>
      </c>
      <c r="C61" s="31">
        <f t="shared" si="0"/>
        <v>-6.25E-2</v>
      </c>
    </row>
    <row r="62" spans="1:3" x14ac:dyDescent="0.25">
      <c r="A62" s="5" t="str">
        <v>September</v>
      </c>
      <c r="B62" s="29">
        <f>COUNTIF(Data[Month],Analysis!$A62)</f>
        <v>3</v>
      </c>
      <c r="C62" s="31">
        <f t="shared" si="0"/>
        <v>-0.8</v>
      </c>
    </row>
    <row r="65" spans="1:3" x14ac:dyDescent="0.25">
      <c r="A65" s="10" t="s">
        <v>124</v>
      </c>
    </row>
    <row r="67" spans="1:3" x14ac:dyDescent="0.25">
      <c r="A67" s="34" t="s">
        <v>4</v>
      </c>
      <c r="B67" s="24" t="s">
        <v>122</v>
      </c>
      <c r="C67" s="24" t="s">
        <v>125</v>
      </c>
    </row>
    <row r="68" spans="1:3" x14ac:dyDescent="0.25">
      <c r="A68" s="5" t="str" cm="1">
        <f t="array" ref="A68:A76">_xlfn.UNIQUE(Data[Category])</f>
        <v>Biography</v>
      </c>
      <c r="B68" s="5">
        <f>COUNTIF(Data[Category],Analysis!$A68)</f>
        <v>8</v>
      </c>
      <c r="C68" s="5" t="str" cm="1">
        <f t="array" ref="C68:C70">_xlfn._xlws.FILTER(_xlfn.ANCHORARRAY(A68),B68:B76=MODE(B68:B76))</f>
        <v>Finance</v>
      </c>
    </row>
    <row r="69" spans="1:3" x14ac:dyDescent="0.25">
      <c r="A69" s="5" t="str">
        <v>History</v>
      </c>
      <c r="B69" s="5">
        <f>COUNTIF(Data[Category],Analysis!$A69)</f>
        <v>12</v>
      </c>
      <c r="C69" s="5" t="str">
        <v>Self-help</v>
      </c>
    </row>
    <row r="70" spans="1:3" x14ac:dyDescent="0.25">
      <c r="A70" s="5" t="str">
        <v>Finance</v>
      </c>
      <c r="B70" s="5">
        <f>COUNTIF(Data[Category],Analysis!$A70)</f>
        <v>20</v>
      </c>
      <c r="C70" s="5" t="str">
        <v>Classic</v>
      </c>
    </row>
    <row r="71" spans="1:3" x14ac:dyDescent="0.25">
      <c r="A71" s="5" t="str">
        <v>Self-help</v>
      </c>
      <c r="B71" s="5">
        <f>COUNTIF(Data[Category],Analysis!$A71)</f>
        <v>20</v>
      </c>
    </row>
    <row r="72" spans="1:3" x14ac:dyDescent="0.25">
      <c r="A72" s="5" t="str">
        <v>Fantasy</v>
      </c>
      <c r="B72" s="5">
        <f>COUNTIF(Data[Category],Analysis!$A72)</f>
        <v>16</v>
      </c>
    </row>
    <row r="73" spans="1:3" x14ac:dyDescent="0.25">
      <c r="A73" s="5" t="str">
        <v>Technology</v>
      </c>
      <c r="B73" s="5">
        <f>COUNTIF(Data[Category],Analysis!$A73)</f>
        <v>16</v>
      </c>
    </row>
    <row r="74" spans="1:3" x14ac:dyDescent="0.25">
      <c r="A74" s="5" t="str">
        <v>Classic</v>
      </c>
      <c r="B74" s="5">
        <f>COUNTIF(Data[Category],Analysis!$A74)</f>
        <v>20</v>
      </c>
    </row>
    <row r="75" spans="1:3" x14ac:dyDescent="0.25">
      <c r="A75" s="5" t="str">
        <v>Children</v>
      </c>
      <c r="B75" s="5">
        <f>COUNTIF(Data[Category],Analysis!$A75)</f>
        <v>4</v>
      </c>
    </row>
    <row r="76" spans="1:3" x14ac:dyDescent="0.25">
      <c r="A76" s="5" t="str">
        <v>Fiction</v>
      </c>
      <c r="B76" s="5">
        <f>COUNTIF(Data[Category],Analysis!$A76)</f>
        <v>4</v>
      </c>
    </row>
    <row r="81" spans="2:3" x14ac:dyDescent="0.25">
      <c r="B81" s="35" t="s">
        <v>129</v>
      </c>
      <c r="C81" s="36"/>
    </row>
    <row r="82" spans="2:3" x14ac:dyDescent="0.25">
      <c r="B82" s="32" t="s">
        <v>126</v>
      </c>
      <c r="C82" s="37" t="str">
        <f>INDEX(_xlfn.ANCHORARRAY(A54),MATCH(MAX(B54:B62),$B$54:$B$62,0))</f>
        <v>July</v>
      </c>
    </row>
    <row r="83" spans="2:3" x14ac:dyDescent="0.25">
      <c r="B83" s="32" t="s">
        <v>130</v>
      </c>
      <c r="C83" s="37">
        <f>MAX(Data[[Days ]])</f>
        <v>30</v>
      </c>
    </row>
    <row r="84" spans="2:3" x14ac:dyDescent="0.25">
      <c r="B84" s="32" t="s">
        <v>127</v>
      </c>
      <c r="C84" s="37">
        <f>'Pivot Tables'!A3</f>
        <v>607260</v>
      </c>
    </row>
    <row r="85" spans="2:3" x14ac:dyDescent="0.25">
      <c r="B85" s="32" t="s">
        <v>96</v>
      </c>
      <c r="C85" s="37">
        <f>'Pivot Tables'!A7</f>
        <v>120</v>
      </c>
    </row>
    <row r="86" spans="2:3" x14ac:dyDescent="0.25">
      <c r="B86" s="38" t="s">
        <v>128</v>
      </c>
      <c r="C86" s="37" t="str" cm="1">
        <f t="array" ref="C86:C88">_xlfn.ANCHORARRAY(C68)</f>
        <v>Finance</v>
      </c>
    </row>
    <row r="87" spans="2:3" x14ac:dyDescent="0.25">
      <c r="B87" s="38"/>
      <c r="C87" s="37" t="str">
        <v>Self-help</v>
      </c>
    </row>
    <row r="88" spans="2:3" x14ac:dyDescent="0.25">
      <c r="B88" s="38"/>
      <c r="C88" s="37" t="str">
        <v>Classic</v>
      </c>
    </row>
  </sheetData>
  <mergeCells count="1">
    <mergeCell ref="B86:B88"/>
  </mergeCells>
  <conditionalFormatting sqref="B53:B62">
    <cfRule type="dataBar" priority="1">
      <dataBar>
        <cfvo type="min"/>
        <cfvo type="max"/>
        <color rgb="FFD6007B"/>
      </dataBar>
      <extLst>
        <ext xmlns:x14="http://schemas.microsoft.com/office/spreadsheetml/2009/9/main" uri="{B025F937-C7B1-47D3-B67F-A62EFF666E3E}">
          <x14:id>{D30A4D25-32F9-477D-8557-815FB8F4FE70}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30A4D25-32F9-477D-8557-815FB8F4FE70}">
            <x14:dataBar minLength="0" maxLength="100" border="1" negativeBarBorderColorSameAsPositive="0">
              <x14:cfvo type="autoMin"/>
              <x14:cfvo type="autoMax"/>
              <x14:borderColor rgb="FFD6007B"/>
              <x14:negativeFillColor rgb="FFFF0000"/>
              <x14:negativeBorderColor rgb="FFFF0000"/>
              <x14:axisColor rgb="FF000000"/>
            </x14:dataBar>
          </x14:cfRule>
          <xm:sqref>B53:B62</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E9D17686-2210-432B-961B-6311C25A1C1F}">
          <x14:formula1>
            <xm:f>'Book Transction'!$A$2:$A$121</xm:f>
          </x14:formula1>
          <xm:sqref>B20</xm:sqref>
        </x14:dataValidation>
        <x14:dataValidation type="list" allowBlank="1" showInputMessage="1" showErrorMessage="1" xr:uid="{18C3628B-39FD-4761-89C4-7E2806C97CDB}">
          <x14:formula1>
            <xm:f>'Book Transction'!$D$2:$D$121</xm:f>
          </x14:formula1>
          <xm:sqref>C4 B3</xm:sqref>
        </x14:dataValidation>
        <x14:dataValidation type="list" allowBlank="1" showInputMessage="1" showErrorMessage="1" xr:uid="{8A8F714F-9405-417D-92BC-838964DFC434}">
          <x14:formula1>
            <xm:f>'Book Transction'!A$2:A$121</xm:f>
          </x14:formula1>
          <xm:sqref>B41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2B7FF-C26B-44B2-B5A1-A4EC4610D572}">
  <dimension ref="A1"/>
  <sheetViews>
    <sheetView workbookViewId="0">
      <selection activeCell="A2" sqref="A2:C7"/>
    </sheetView>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59C36-7F73-468F-BA83-B3482956DB46}">
  <dimension ref="A2:M20"/>
  <sheetViews>
    <sheetView workbookViewId="0">
      <selection activeCell="A14" sqref="A14"/>
    </sheetView>
  </sheetViews>
  <sheetFormatPr defaultRowHeight="15" x14ac:dyDescent="0.25"/>
  <cols>
    <col min="1" max="1" width="26.140625" bestFit="1" customWidth="1"/>
    <col min="4" max="4" width="18.5703125" customWidth="1"/>
    <col min="5" max="5" width="21.85546875" bestFit="1" customWidth="1"/>
    <col min="6" max="6" width="8.85546875" bestFit="1" customWidth="1"/>
    <col min="7" max="7" width="7.5703125" bestFit="1" customWidth="1"/>
    <col min="8" max="8" width="21.140625" customWidth="1"/>
    <col min="9" max="9" width="22.42578125" customWidth="1"/>
    <col min="10" max="10" width="8" bestFit="1" customWidth="1"/>
    <col min="11" max="11" width="7.5703125" bestFit="1" customWidth="1"/>
    <col min="12" max="12" width="27.85546875" customWidth="1"/>
    <col min="13" max="13" width="23.140625" customWidth="1"/>
    <col min="14" max="14" width="11.28515625" bestFit="1" customWidth="1"/>
  </cols>
  <sheetData>
    <row r="2" spans="1:13" x14ac:dyDescent="0.25">
      <c r="A2" s="10" t="s">
        <v>95</v>
      </c>
      <c r="D2" s="13" t="s">
        <v>7</v>
      </c>
      <c r="E2" s="13" t="s">
        <v>112</v>
      </c>
      <c r="H2" s="10" t="s">
        <v>111</v>
      </c>
      <c r="I2" s="10" t="s">
        <v>117</v>
      </c>
      <c r="L2" s="10" t="s">
        <v>97</v>
      </c>
      <c r="M2" s="10" t="s">
        <v>116</v>
      </c>
    </row>
    <row r="3" spans="1:13" x14ac:dyDescent="0.25">
      <c r="A3" s="11">
        <v>607260</v>
      </c>
      <c r="D3" s="14" t="s">
        <v>27</v>
      </c>
      <c r="E3" s="15">
        <v>0.30769230769230771</v>
      </c>
      <c r="H3" s="16" t="s">
        <v>79</v>
      </c>
      <c r="I3" s="12">
        <v>3</v>
      </c>
      <c r="L3" s="14" t="s">
        <v>52</v>
      </c>
      <c r="M3" s="12">
        <v>4</v>
      </c>
    </row>
    <row r="4" spans="1:13" x14ac:dyDescent="0.25">
      <c r="D4" s="14" t="s">
        <v>16</v>
      </c>
      <c r="E4" s="15">
        <v>0.69230769230769229</v>
      </c>
      <c r="H4" s="16" t="s">
        <v>87</v>
      </c>
      <c r="I4" s="12">
        <v>3</v>
      </c>
      <c r="L4" s="14" t="s">
        <v>43</v>
      </c>
      <c r="M4" s="12">
        <v>2</v>
      </c>
    </row>
    <row r="5" spans="1:13" x14ac:dyDescent="0.25">
      <c r="H5" s="16" t="s">
        <v>53</v>
      </c>
      <c r="I5" s="12">
        <v>3</v>
      </c>
      <c r="L5" s="14" t="s">
        <v>86</v>
      </c>
      <c r="M5" s="12">
        <v>2</v>
      </c>
    </row>
    <row r="6" spans="1:13" x14ac:dyDescent="0.25">
      <c r="A6" s="10" t="s">
        <v>96</v>
      </c>
      <c r="H6" s="16" t="s">
        <v>48</v>
      </c>
      <c r="I6" s="12">
        <v>4</v>
      </c>
      <c r="L6" s="14" t="s">
        <v>25</v>
      </c>
      <c r="M6" s="12">
        <v>2</v>
      </c>
    </row>
    <row r="7" spans="1:13" x14ac:dyDescent="0.25">
      <c r="A7" s="11">
        <v>120</v>
      </c>
      <c r="D7" s="10" t="s">
        <v>98</v>
      </c>
      <c r="E7" s="10" t="s">
        <v>113</v>
      </c>
      <c r="L7" s="14" t="s">
        <v>20</v>
      </c>
      <c r="M7" s="12">
        <v>1</v>
      </c>
    </row>
    <row r="8" spans="1:13" x14ac:dyDescent="0.25">
      <c r="D8" s="16">
        <v>5008</v>
      </c>
      <c r="E8" s="12">
        <v>1</v>
      </c>
      <c r="L8" s="14" t="s">
        <v>39</v>
      </c>
      <c r="M8" s="12">
        <v>1</v>
      </c>
    </row>
    <row r="9" spans="1:13" x14ac:dyDescent="0.25">
      <c r="D9" s="16">
        <v>5009</v>
      </c>
      <c r="E9" s="12">
        <v>1</v>
      </c>
      <c r="L9" s="14" t="s">
        <v>47</v>
      </c>
      <c r="M9" s="12">
        <v>1</v>
      </c>
    </row>
    <row r="10" spans="1:13" x14ac:dyDescent="0.25">
      <c r="A10" s="10" t="s">
        <v>108</v>
      </c>
      <c r="D10" s="16">
        <v>5019</v>
      </c>
      <c r="E10" s="12">
        <v>1</v>
      </c>
      <c r="H10" s="10" t="s">
        <v>99</v>
      </c>
      <c r="I10" s="10" t="s">
        <v>114</v>
      </c>
    </row>
    <row r="11" spans="1:13" x14ac:dyDescent="0.25">
      <c r="A11" s="12">
        <v>15.216666666666667</v>
      </c>
      <c r="D11" s="16">
        <v>5023</v>
      </c>
      <c r="E11" s="12">
        <v>1</v>
      </c>
      <c r="H11" s="16" t="s">
        <v>91</v>
      </c>
      <c r="I11" s="12">
        <v>1</v>
      </c>
    </row>
    <row r="12" spans="1:13" x14ac:dyDescent="0.25">
      <c r="D12" s="16">
        <v>5033</v>
      </c>
      <c r="E12" s="12">
        <v>1</v>
      </c>
      <c r="H12" s="16" t="s">
        <v>45</v>
      </c>
      <c r="I12" s="12">
        <v>1</v>
      </c>
    </row>
    <row r="13" spans="1:13" x14ac:dyDescent="0.25">
      <c r="D13" s="16">
        <v>5034</v>
      </c>
      <c r="E13" s="12">
        <v>1</v>
      </c>
      <c r="H13" s="16" t="s">
        <v>41</v>
      </c>
      <c r="I13" s="12">
        <v>1</v>
      </c>
    </row>
    <row r="14" spans="1:13" x14ac:dyDescent="0.25">
      <c r="D14" s="16">
        <v>5044</v>
      </c>
      <c r="E14" s="12">
        <v>1</v>
      </c>
      <c r="H14" s="16" t="s">
        <v>64</v>
      </c>
      <c r="I14" s="12">
        <v>1</v>
      </c>
      <c r="L14" s="10" t="s">
        <v>103</v>
      </c>
      <c r="M14" s="10" t="s">
        <v>115</v>
      </c>
    </row>
    <row r="15" spans="1:13" x14ac:dyDescent="0.25">
      <c r="D15" s="16">
        <v>5048</v>
      </c>
      <c r="E15" s="12">
        <v>1</v>
      </c>
      <c r="H15" s="16" t="s">
        <v>50</v>
      </c>
      <c r="I15" s="12">
        <v>3</v>
      </c>
      <c r="L15" s="14" t="s">
        <v>102</v>
      </c>
      <c r="M15" s="15">
        <v>0.69230769230769229</v>
      </c>
    </row>
    <row r="16" spans="1:13" x14ac:dyDescent="0.25">
      <c r="D16" s="16">
        <v>5058</v>
      </c>
      <c r="E16" s="12">
        <v>1</v>
      </c>
      <c r="H16" s="16" t="s">
        <v>29</v>
      </c>
      <c r="I16" s="12">
        <v>1</v>
      </c>
      <c r="L16" s="14" t="s">
        <v>94</v>
      </c>
      <c r="M16" s="15">
        <v>0.30769230769230771</v>
      </c>
    </row>
    <row r="17" spans="4:9" x14ac:dyDescent="0.25">
      <c r="D17" s="16">
        <v>5059</v>
      </c>
      <c r="E17" s="12">
        <v>1</v>
      </c>
      <c r="H17" s="16" t="s">
        <v>84</v>
      </c>
      <c r="I17" s="12">
        <v>2</v>
      </c>
    </row>
    <row r="18" spans="4:9" x14ac:dyDescent="0.25">
      <c r="D18" s="16">
        <v>5069</v>
      </c>
      <c r="E18" s="12">
        <v>1</v>
      </c>
      <c r="H18" s="16" t="s">
        <v>61</v>
      </c>
      <c r="I18" s="12">
        <v>1</v>
      </c>
    </row>
    <row r="19" spans="4:9" x14ac:dyDescent="0.25">
      <c r="D19" s="16">
        <v>5073</v>
      </c>
      <c r="E19" s="12">
        <v>1</v>
      </c>
      <c r="H19" s="16" t="s">
        <v>77</v>
      </c>
      <c r="I19" s="12">
        <v>1</v>
      </c>
    </row>
    <row r="20" spans="4:9" x14ac:dyDescent="0.25">
      <c r="D20" s="16">
        <v>5083</v>
      </c>
      <c r="E20" s="12">
        <v>1</v>
      </c>
      <c r="H20" s="16" t="s">
        <v>23</v>
      </c>
      <c r="I20" s="12">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A1C63-E27B-4E43-8C83-D1974D6D2222}">
  <dimension ref="A1:O121"/>
  <sheetViews>
    <sheetView topLeftCell="G101" workbookViewId="0">
      <selection activeCell="P117" sqref="P117"/>
    </sheetView>
  </sheetViews>
  <sheetFormatPr defaultRowHeight="15" x14ac:dyDescent="0.25"/>
  <cols>
    <col min="1" max="1" width="16.28515625" bestFit="1" customWidth="1"/>
    <col min="2" max="2" width="10.140625" bestFit="1" customWidth="1"/>
    <col min="3" max="3" width="37" bestFit="1" customWidth="1"/>
    <col min="4" max="4" width="33.5703125" bestFit="1" customWidth="1"/>
    <col min="5" max="5" width="11.42578125" bestFit="1" customWidth="1"/>
    <col min="6" max="6" width="13.140625" bestFit="1" customWidth="1"/>
    <col min="7" max="7" width="16.5703125" bestFit="1" customWidth="1"/>
    <col min="8" max="8" width="15.5703125" bestFit="1" customWidth="1"/>
    <col min="9" max="9" width="16.85546875" bestFit="1" customWidth="1"/>
    <col min="10" max="10" width="12.85546875" bestFit="1" customWidth="1"/>
    <col min="11" max="11" width="11.7109375" bestFit="1" customWidth="1"/>
    <col min="12" max="12" width="14.140625" bestFit="1" customWidth="1"/>
    <col min="13" max="13" width="14.5703125" style="4" customWidth="1"/>
    <col min="14" max="14" width="20" customWidth="1"/>
    <col min="15" max="15" width="11.140625" customWidth="1"/>
  </cols>
  <sheetData>
    <row r="1" spans="1:15" x14ac:dyDescent="0.25">
      <c r="A1" t="s">
        <v>0</v>
      </c>
      <c r="B1" t="s">
        <v>1</v>
      </c>
      <c r="C1" t="s">
        <v>2</v>
      </c>
      <c r="D1" t="s">
        <v>3</v>
      </c>
      <c r="E1" t="s">
        <v>4</v>
      </c>
      <c r="F1" t="s">
        <v>5</v>
      </c>
      <c r="G1" t="s">
        <v>6</v>
      </c>
      <c r="H1" t="s">
        <v>7</v>
      </c>
      <c r="I1" t="s">
        <v>8</v>
      </c>
      <c r="J1" s="2" t="s">
        <v>9</v>
      </c>
      <c r="K1" s="2" t="s">
        <v>10</v>
      </c>
      <c r="L1" s="2" t="s">
        <v>11</v>
      </c>
      <c r="M1" s="4" t="s">
        <v>93</v>
      </c>
      <c r="N1" t="s">
        <v>94</v>
      </c>
      <c r="O1" t="s">
        <v>100</v>
      </c>
    </row>
    <row r="2" spans="1:15" x14ac:dyDescent="0.25">
      <c r="A2">
        <v>5001</v>
      </c>
      <c r="B2">
        <v>101</v>
      </c>
      <c r="C2" s="1" t="s">
        <v>12</v>
      </c>
      <c r="D2" s="1" t="s">
        <v>13</v>
      </c>
      <c r="E2" s="1" t="s">
        <v>14</v>
      </c>
      <c r="F2">
        <v>2001</v>
      </c>
      <c r="G2" s="1" t="s">
        <v>15</v>
      </c>
      <c r="H2" s="1" t="s">
        <v>16</v>
      </c>
      <c r="I2" s="1" t="s">
        <v>17</v>
      </c>
      <c r="J2" s="2">
        <v>46023</v>
      </c>
      <c r="K2" s="2">
        <v>46030</v>
      </c>
      <c r="L2" s="2">
        <v>46030</v>
      </c>
      <c r="M2" s="4">
        <f>DATEDIF(Data[[#This Row],[Issue Date]],Data[[#This Row],[Due Date]],"d")</f>
        <v>7</v>
      </c>
      <c r="N2" s="2" t="str">
        <f>IF(Data[[#This Row],[Due Date]]&lt;&gt;Data[[#This Row],[Return Date]],"Late Return","Return Book")</f>
        <v>Return Book</v>
      </c>
      <c r="O2" s="2" t="str">
        <f>TEXT(Data[[#This Row],[Issue Date]],"mmmm")</f>
        <v>January</v>
      </c>
    </row>
    <row r="3" spans="1:15" x14ac:dyDescent="0.25">
      <c r="A3">
        <v>5002</v>
      </c>
      <c r="B3">
        <v>108</v>
      </c>
      <c r="C3" s="1" t="s">
        <v>18</v>
      </c>
      <c r="D3" s="1" t="s">
        <v>19</v>
      </c>
      <c r="E3" s="1" t="s">
        <v>20</v>
      </c>
      <c r="F3">
        <v>2004</v>
      </c>
      <c r="G3" s="1" t="s">
        <v>21</v>
      </c>
      <c r="H3" s="1" t="s">
        <v>16</v>
      </c>
      <c r="I3" s="1" t="s">
        <v>22</v>
      </c>
      <c r="J3" s="2">
        <v>46028</v>
      </c>
      <c r="K3" s="2">
        <v>46042</v>
      </c>
      <c r="L3" s="2">
        <v>46041</v>
      </c>
      <c r="M3" s="4">
        <f>DATEDIF(Data[[#This Row],[Issue Date]],Data[[#This Row],[Due Date]],"d")</f>
        <v>14</v>
      </c>
      <c r="N3" s="2" t="str">
        <f>IF(Data[[#This Row],[Due Date]]&lt;&gt;Data[[#This Row],[Return Date]],"Late Return","Return Book")</f>
        <v>Late Return</v>
      </c>
      <c r="O3" s="2" t="str">
        <f>TEXT(Data[[#This Row],[Issue Date]],"mmmm")</f>
        <v>January</v>
      </c>
    </row>
    <row r="4" spans="1:15" x14ac:dyDescent="0.25">
      <c r="A4">
        <v>5003</v>
      </c>
      <c r="B4">
        <v>115</v>
      </c>
      <c r="C4" s="1" t="s">
        <v>23</v>
      </c>
      <c r="D4" s="1" t="s">
        <v>24</v>
      </c>
      <c r="E4" s="1" t="s">
        <v>25</v>
      </c>
      <c r="F4">
        <v>2007</v>
      </c>
      <c r="G4" s="1" t="s">
        <v>26</v>
      </c>
      <c r="H4" s="1" t="s">
        <v>27</v>
      </c>
      <c r="I4" s="1" t="s">
        <v>28</v>
      </c>
      <c r="J4" s="2">
        <v>46033</v>
      </c>
      <c r="K4" s="2">
        <v>46047</v>
      </c>
      <c r="L4" s="2">
        <v>46045</v>
      </c>
      <c r="M4" s="4">
        <f>DATEDIF(Data[[#This Row],[Issue Date]],Data[[#This Row],[Due Date]],"d")</f>
        <v>14</v>
      </c>
      <c r="N4" s="2" t="str">
        <f>IF(Data[[#This Row],[Due Date]]&lt;&gt;Data[[#This Row],[Return Date]],"Late Return","Return Book")</f>
        <v>Late Return</v>
      </c>
      <c r="O4" s="2" t="str">
        <f>TEXT(Data[[#This Row],[Issue Date]],"mmmm")</f>
        <v>January</v>
      </c>
    </row>
    <row r="5" spans="1:15" x14ac:dyDescent="0.25">
      <c r="A5">
        <v>5004</v>
      </c>
      <c r="B5">
        <v>103</v>
      </c>
      <c r="C5" s="1" t="s">
        <v>29</v>
      </c>
      <c r="D5" s="1" t="s">
        <v>30</v>
      </c>
      <c r="E5" s="1" t="s">
        <v>25</v>
      </c>
      <c r="F5">
        <v>2010</v>
      </c>
      <c r="G5" s="1" t="s">
        <v>31</v>
      </c>
      <c r="H5" s="1" t="s">
        <v>32</v>
      </c>
      <c r="I5" s="1" t="s">
        <v>33</v>
      </c>
      <c r="J5" s="2">
        <v>46038</v>
      </c>
      <c r="K5" s="2">
        <v>46059</v>
      </c>
      <c r="L5" s="2">
        <v>46056</v>
      </c>
      <c r="M5" s="4">
        <f>DATEDIF(Data[[#This Row],[Issue Date]],Data[[#This Row],[Due Date]],"d")</f>
        <v>21</v>
      </c>
      <c r="N5" s="2" t="str">
        <f>IF(Data[[#This Row],[Due Date]]&lt;&gt;Data[[#This Row],[Return Date]],"Late Return","Return Book")</f>
        <v>Late Return</v>
      </c>
      <c r="O5" s="2" t="str">
        <f>TEXT(Data[[#This Row],[Issue Date]],"mmmm")</f>
        <v>January</v>
      </c>
    </row>
    <row r="6" spans="1:15" x14ac:dyDescent="0.25">
      <c r="A6">
        <v>5005</v>
      </c>
      <c r="B6">
        <v>110</v>
      </c>
      <c r="C6" s="1" t="s">
        <v>34</v>
      </c>
      <c r="D6" s="1" t="s">
        <v>35</v>
      </c>
      <c r="E6" s="1" t="s">
        <v>25</v>
      </c>
      <c r="F6">
        <v>2013</v>
      </c>
      <c r="G6" s="1" t="s">
        <v>36</v>
      </c>
      <c r="H6" s="1" t="s">
        <v>16</v>
      </c>
      <c r="I6" s="1" t="s">
        <v>22</v>
      </c>
      <c r="J6" s="2">
        <v>46043</v>
      </c>
      <c r="K6" s="2">
        <v>46057</v>
      </c>
      <c r="L6" s="2">
        <v>46053</v>
      </c>
      <c r="M6" s="4">
        <f>DATEDIF(Data[[#This Row],[Issue Date]],Data[[#This Row],[Due Date]],"d")</f>
        <v>14</v>
      </c>
      <c r="N6" s="2" t="str">
        <f>IF(Data[[#This Row],[Due Date]]&lt;&gt;Data[[#This Row],[Return Date]],"Late Return","Return Book")</f>
        <v>Late Return</v>
      </c>
      <c r="O6" s="2" t="str">
        <f>TEXT(Data[[#This Row],[Issue Date]],"mmmm")</f>
        <v>January</v>
      </c>
    </row>
    <row r="7" spans="1:15" x14ac:dyDescent="0.25">
      <c r="A7">
        <v>5006</v>
      </c>
      <c r="B7">
        <v>117</v>
      </c>
      <c r="C7" s="1" t="s">
        <v>37</v>
      </c>
      <c r="D7" s="1" t="s">
        <v>38</v>
      </c>
      <c r="E7" s="1" t="s">
        <v>39</v>
      </c>
      <c r="F7">
        <v>2017</v>
      </c>
      <c r="G7" s="1" t="s">
        <v>40</v>
      </c>
      <c r="H7" s="1" t="s">
        <v>27</v>
      </c>
      <c r="I7" s="1" t="s">
        <v>20</v>
      </c>
      <c r="J7" s="2">
        <v>46048</v>
      </c>
      <c r="K7" s="2">
        <v>46055</v>
      </c>
      <c r="L7" s="2">
        <v>46056</v>
      </c>
      <c r="M7" s="4">
        <f>DATEDIF(Data[[#This Row],[Issue Date]],Data[[#This Row],[Due Date]],"d")</f>
        <v>7</v>
      </c>
      <c r="N7" s="2" t="str">
        <f>IF(Data[[#This Row],[Due Date]]&lt;&gt;Data[[#This Row],[Return Date]],"Late Return","Return Book")</f>
        <v>Late Return</v>
      </c>
      <c r="O7" s="2" t="str">
        <f>TEXT(Data[[#This Row],[Issue Date]],"mmmm")</f>
        <v>January</v>
      </c>
    </row>
    <row r="8" spans="1:15" x14ac:dyDescent="0.25">
      <c r="A8">
        <v>5007</v>
      </c>
      <c r="B8">
        <v>105</v>
      </c>
      <c r="C8" s="1" t="s">
        <v>41</v>
      </c>
      <c r="D8" s="1" t="s">
        <v>42</v>
      </c>
      <c r="E8" s="1" t="s">
        <v>43</v>
      </c>
      <c r="F8">
        <v>2020</v>
      </c>
      <c r="G8" s="1" t="s">
        <v>44</v>
      </c>
      <c r="H8" s="1" t="s">
        <v>16</v>
      </c>
      <c r="I8" s="1" t="s">
        <v>22</v>
      </c>
      <c r="J8" s="2">
        <v>46053</v>
      </c>
      <c r="K8" s="2">
        <v>46083</v>
      </c>
      <c r="L8" s="2">
        <v>46087</v>
      </c>
      <c r="M8" s="4">
        <f>DATEDIF(Data[[#This Row],[Issue Date]],Data[[#This Row],[Due Date]],"d")</f>
        <v>30</v>
      </c>
      <c r="N8" s="2" t="str">
        <f>IF(Data[[#This Row],[Due Date]]&lt;&gt;Data[[#This Row],[Return Date]],"Late Return","Return Book")</f>
        <v>Late Return</v>
      </c>
      <c r="O8" s="2" t="str">
        <f>TEXT(Data[[#This Row],[Issue Date]],"mmmm")</f>
        <v>January</v>
      </c>
    </row>
    <row r="9" spans="1:15" x14ac:dyDescent="0.25">
      <c r="A9">
        <v>5008</v>
      </c>
      <c r="B9">
        <v>112</v>
      </c>
      <c r="C9" s="1" t="s">
        <v>45</v>
      </c>
      <c r="D9" s="1" t="s">
        <v>46</v>
      </c>
      <c r="E9" s="1" t="s">
        <v>47</v>
      </c>
      <c r="F9">
        <v>2003</v>
      </c>
      <c r="G9" s="1" t="s">
        <v>48</v>
      </c>
      <c r="H9" s="1" t="s">
        <v>27</v>
      </c>
      <c r="I9" s="1" t="s">
        <v>49</v>
      </c>
      <c r="J9" s="2">
        <v>46037</v>
      </c>
      <c r="K9" s="2">
        <v>46044</v>
      </c>
      <c r="L9" s="2">
        <v>46049</v>
      </c>
      <c r="M9" s="4">
        <f>DATEDIF(Data[[#This Row],[Issue Date]],Data[[#This Row],[Due Date]],"d")</f>
        <v>7</v>
      </c>
      <c r="N9" s="2" t="str">
        <f>IF(Data[[#This Row],[Due Date]]&lt;&gt;Data[[#This Row],[Return Date]],"Late Return","Return Book")</f>
        <v>Late Return</v>
      </c>
      <c r="O9" s="2" t="str">
        <f>TEXT(Data[[#This Row],[Issue Date]],"mmmm")</f>
        <v>January</v>
      </c>
    </row>
    <row r="10" spans="1:15" x14ac:dyDescent="0.25">
      <c r="A10">
        <v>5009</v>
      </c>
      <c r="B10">
        <v>119</v>
      </c>
      <c r="C10" s="1" t="s">
        <v>50</v>
      </c>
      <c r="D10" s="1" t="s">
        <v>51</v>
      </c>
      <c r="E10" s="1" t="s">
        <v>52</v>
      </c>
      <c r="F10">
        <v>2006</v>
      </c>
      <c r="G10" s="1" t="s">
        <v>53</v>
      </c>
      <c r="H10" s="1" t="s">
        <v>16</v>
      </c>
      <c r="I10" s="1" t="s">
        <v>49</v>
      </c>
      <c r="J10" s="2">
        <v>46042</v>
      </c>
      <c r="K10" s="2">
        <v>46056</v>
      </c>
      <c r="L10" s="2">
        <v>46061</v>
      </c>
      <c r="M10" s="4">
        <f>DATEDIF(Data[[#This Row],[Issue Date]],Data[[#This Row],[Due Date]],"d")</f>
        <v>14</v>
      </c>
      <c r="N10" s="2" t="str">
        <f>IF(Data[[#This Row],[Due Date]]&lt;&gt;Data[[#This Row],[Return Date]],"Late Return","Return Book")</f>
        <v>Late Return</v>
      </c>
      <c r="O10" s="2" t="str">
        <f>TEXT(Data[[#This Row],[Issue Date]],"mmmm")</f>
        <v>January</v>
      </c>
    </row>
    <row r="11" spans="1:15" x14ac:dyDescent="0.25">
      <c r="A11">
        <v>5010</v>
      </c>
      <c r="B11">
        <v>107</v>
      </c>
      <c r="C11" s="1" t="s">
        <v>54</v>
      </c>
      <c r="D11" s="1" t="s">
        <v>55</v>
      </c>
      <c r="E11" s="1" t="s">
        <v>39</v>
      </c>
      <c r="F11">
        <v>2009</v>
      </c>
      <c r="G11" s="1" t="s">
        <v>56</v>
      </c>
      <c r="H11" s="1" t="s">
        <v>16</v>
      </c>
      <c r="I11" s="1" t="s">
        <v>57</v>
      </c>
      <c r="J11" s="2">
        <v>46047</v>
      </c>
      <c r="K11" s="2">
        <v>46061</v>
      </c>
      <c r="L11" s="2">
        <v>46071</v>
      </c>
      <c r="M11" s="4">
        <f>DATEDIF(Data[[#This Row],[Issue Date]],Data[[#This Row],[Due Date]],"d")</f>
        <v>14</v>
      </c>
      <c r="N11" s="2" t="str">
        <f>IF(Data[[#This Row],[Due Date]]&lt;&gt;Data[[#This Row],[Return Date]],"Late Return","Return Book")</f>
        <v>Late Return</v>
      </c>
      <c r="O11" s="2" t="str">
        <f>TEXT(Data[[#This Row],[Issue Date]],"mmmm")</f>
        <v>January</v>
      </c>
    </row>
    <row r="12" spans="1:15" x14ac:dyDescent="0.25">
      <c r="A12">
        <v>5011</v>
      </c>
      <c r="B12">
        <v>114</v>
      </c>
      <c r="C12" s="1" t="s">
        <v>58</v>
      </c>
      <c r="D12" s="1" t="s">
        <v>59</v>
      </c>
      <c r="E12" s="1" t="s">
        <v>52</v>
      </c>
      <c r="F12">
        <v>2013</v>
      </c>
      <c r="G12" s="1" t="s">
        <v>36</v>
      </c>
      <c r="H12" s="1" t="s">
        <v>16</v>
      </c>
      <c r="I12" s="1" t="s">
        <v>22</v>
      </c>
      <c r="J12" s="2">
        <v>46052</v>
      </c>
      <c r="K12" s="2">
        <v>46073</v>
      </c>
      <c r="L12" s="2">
        <v>46074</v>
      </c>
      <c r="M12" s="4">
        <f>DATEDIF(Data[[#This Row],[Issue Date]],Data[[#This Row],[Due Date]],"d")</f>
        <v>21</v>
      </c>
      <c r="N12" s="2" t="str">
        <f>IF(Data[[#This Row],[Due Date]]&lt;&gt;Data[[#This Row],[Return Date]],"Late Return","Return Book")</f>
        <v>Late Return</v>
      </c>
      <c r="O12" s="2" t="str">
        <f>TEXT(Data[[#This Row],[Issue Date]],"mmmm")</f>
        <v>January</v>
      </c>
    </row>
    <row r="13" spans="1:15" x14ac:dyDescent="0.25">
      <c r="A13">
        <v>5012</v>
      </c>
      <c r="B13">
        <v>101</v>
      </c>
      <c r="C13" s="1" t="s">
        <v>12</v>
      </c>
      <c r="D13" s="1" t="s">
        <v>13</v>
      </c>
      <c r="E13" s="1" t="s">
        <v>14</v>
      </c>
      <c r="F13">
        <v>2016</v>
      </c>
      <c r="G13" s="1" t="s">
        <v>60</v>
      </c>
      <c r="H13" s="1" t="s">
        <v>16</v>
      </c>
      <c r="I13" s="1" t="s">
        <v>57</v>
      </c>
      <c r="J13" s="2">
        <v>46057</v>
      </c>
      <c r="K13" s="2">
        <v>46071</v>
      </c>
      <c r="L13" s="2">
        <v>46070</v>
      </c>
      <c r="M13" s="4">
        <f>DATEDIF(Data[[#This Row],[Issue Date]],Data[[#This Row],[Due Date]],"d")</f>
        <v>14</v>
      </c>
      <c r="N13" s="2" t="str">
        <f>IF(Data[[#This Row],[Due Date]]&lt;&gt;Data[[#This Row],[Return Date]],"Late Return","Return Book")</f>
        <v>Late Return</v>
      </c>
      <c r="O13" s="2" t="str">
        <f>TEXT(Data[[#This Row],[Issue Date]],"mmmm")</f>
        <v>February</v>
      </c>
    </row>
    <row r="14" spans="1:15" x14ac:dyDescent="0.25">
      <c r="A14">
        <v>5013</v>
      </c>
      <c r="B14">
        <v>109</v>
      </c>
      <c r="C14" s="1" t="s">
        <v>61</v>
      </c>
      <c r="D14" s="1" t="s">
        <v>62</v>
      </c>
      <c r="E14" s="1" t="s">
        <v>52</v>
      </c>
      <c r="F14">
        <v>2019</v>
      </c>
      <c r="G14" s="1" t="s">
        <v>63</v>
      </c>
      <c r="H14" s="1" t="s">
        <v>16</v>
      </c>
      <c r="I14" s="1" t="s">
        <v>17</v>
      </c>
      <c r="J14" s="2">
        <v>46062</v>
      </c>
      <c r="K14" s="2">
        <v>46069</v>
      </c>
      <c r="L14" s="2">
        <v>46067</v>
      </c>
      <c r="M14" s="4">
        <f>DATEDIF(Data[[#This Row],[Issue Date]],Data[[#This Row],[Due Date]],"d")</f>
        <v>7</v>
      </c>
      <c r="N14" s="2" t="str">
        <f>IF(Data[[#This Row],[Due Date]]&lt;&gt;Data[[#This Row],[Return Date]],"Late Return","Return Book")</f>
        <v>Late Return</v>
      </c>
      <c r="O14" s="2" t="str">
        <f>TEXT(Data[[#This Row],[Issue Date]],"mmmm")</f>
        <v>February</v>
      </c>
    </row>
    <row r="15" spans="1:15" x14ac:dyDescent="0.25">
      <c r="A15">
        <v>5014</v>
      </c>
      <c r="B15">
        <v>116</v>
      </c>
      <c r="C15" s="1" t="s">
        <v>64</v>
      </c>
      <c r="D15" s="1" t="s">
        <v>65</v>
      </c>
      <c r="E15" s="1" t="s">
        <v>20</v>
      </c>
      <c r="F15">
        <v>2002</v>
      </c>
      <c r="G15" s="1" t="s">
        <v>66</v>
      </c>
      <c r="H15" s="1" t="s">
        <v>16</v>
      </c>
      <c r="I15" s="1" t="s">
        <v>57</v>
      </c>
      <c r="J15" s="2">
        <v>46067</v>
      </c>
      <c r="K15" s="2">
        <v>46097</v>
      </c>
      <c r="L15" s="2">
        <v>46094</v>
      </c>
      <c r="M15" s="4">
        <f>DATEDIF(Data[[#This Row],[Issue Date]],Data[[#This Row],[Due Date]],"d")</f>
        <v>30</v>
      </c>
      <c r="N15" s="2" t="str">
        <f>IF(Data[[#This Row],[Due Date]]&lt;&gt;Data[[#This Row],[Return Date]],"Late Return","Return Book")</f>
        <v>Late Return</v>
      </c>
      <c r="O15" s="2" t="str">
        <f>TEXT(Data[[#This Row],[Issue Date]],"mmmm")</f>
        <v>February</v>
      </c>
    </row>
    <row r="16" spans="1:15" x14ac:dyDescent="0.25">
      <c r="A16">
        <v>5015</v>
      </c>
      <c r="B16">
        <v>103</v>
      </c>
      <c r="C16" s="1" t="s">
        <v>29</v>
      </c>
      <c r="D16" s="1" t="s">
        <v>30</v>
      </c>
      <c r="E16" s="1" t="s">
        <v>25</v>
      </c>
      <c r="F16">
        <v>2005</v>
      </c>
      <c r="G16" s="1" t="s">
        <v>67</v>
      </c>
      <c r="H16" s="1" t="s">
        <v>32</v>
      </c>
      <c r="I16" s="1" t="s">
        <v>68</v>
      </c>
      <c r="J16" s="2">
        <v>46051</v>
      </c>
      <c r="K16" s="2">
        <v>46058</v>
      </c>
      <c r="L16" s="2">
        <v>46054</v>
      </c>
      <c r="M16" s="4">
        <f>DATEDIF(Data[[#This Row],[Issue Date]],Data[[#This Row],[Due Date]],"d")</f>
        <v>7</v>
      </c>
      <c r="N16" s="2" t="str">
        <f>IF(Data[[#This Row],[Due Date]]&lt;&gt;Data[[#This Row],[Return Date]],"Late Return","Return Book")</f>
        <v>Late Return</v>
      </c>
      <c r="O16" s="2" t="str">
        <f>TEXT(Data[[#This Row],[Issue Date]],"mmmm")</f>
        <v>January</v>
      </c>
    </row>
    <row r="17" spans="1:15" x14ac:dyDescent="0.25">
      <c r="A17">
        <v>5016</v>
      </c>
      <c r="B17">
        <v>111</v>
      </c>
      <c r="C17" s="1" t="s">
        <v>69</v>
      </c>
      <c r="D17" s="1" t="s">
        <v>70</v>
      </c>
      <c r="E17" s="1" t="s">
        <v>47</v>
      </c>
      <c r="F17">
        <v>2009</v>
      </c>
      <c r="G17" s="1" t="s">
        <v>56</v>
      </c>
      <c r="H17" s="1" t="s">
        <v>16</v>
      </c>
      <c r="I17" s="1" t="s">
        <v>57</v>
      </c>
      <c r="J17" s="2">
        <v>46056</v>
      </c>
      <c r="K17" s="2">
        <v>46070</v>
      </c>
      <c r="L17" s="2">
        <v>46071</v>
      </c>
      <c r="M17" s="4">
        <f>DATEDIF(Data[[#This Row],[Issue Date]],Data[[#This Row],[Due Date]],"d")</f>
        <v>14</v>
      </c>
      <c r="N17" s="2" t="str">
        <f>IF(Data[[#This Row],[Due Date]]&lt;&gt;Data[[#This Row],[Return Date]],"Late Return","Return Book")</f>
        <v>Late Return</v>
      </c>
      <c r="O17" s="2" t="str">
        <f>TEXT(Data[[#This Row],[Issue Date]],"mmmm")</f>
        <v>February</v>
      </c>
    </row>
    <row r="18" spans="1:15" x14ac:dyDescent="0.25">
      <c r="A18">
        <v>5017</v>
      </c>
      <c r="B18">
        <v>118</v>
      </c>
      <c r="C18" s="1" t="s">
        <v>71</v>
      </c>
      <c r="D18" s="1" t="s">
        <v>72</v>
      </c>
      <c r="E18" s="1" t="s">
        <v>47</v>
      </c>
      <c r="F18">
        <v>2012</v>
      </c>
      <c r="G18" s="1" t="s">
        <v>73</v>
      </c>
      <c r="H18" s="1" t="s">
        <v>27</v>
      </c>
      <c r="I18" s="1" t="s">
        <v>74</v>
      </c>
      <c r="J18" s="2">
        <v>46061</v>
      </c>
      <c r="K18" s="2">
        <v>46075</v>
      </c>
      <c r="L18" s="2">
        <v>46076</v>
      </c>
      <c r="M18" s="4">
        <f>DATEDIF(Data[[#This Row],[Issue Date]],Data[[#This Row],[Due Date]],"d")</f>
        <v>14</v>
      </c>
      <c r="N18" s="2" t="str">
        <f>IF(Data[[#This Row],[Due Date]]&lt;&gt;Data[[#This Row],[Return Date]],"Late Return","Return Book")</f>
        <v>Late Return</v>
      </c>
      <c r="O18" s="2" t="str">
        <f>TEXT(Data[[#This Row],[Issue Date]],"mmmm")</f>
        <v>February</v>
      </c>
    </row>
    <row r="19" spans="1:15" x14ac:dyDescent="0.25">
      <c r="A19">
        <v>5018</v>
      </c>
      <c r="B19">
        <v>105</v>
      </c>
      <c r="C19" s="1" t="s">
        <v>41</v>
      </c>
      <c r="D19" s="1" t="s">
        <v>42</v>
      </c>
      <c r="E19" s="1" t="s">
        <v>43</v>
      </c>
      <c r="F19">
        <v>2015</v>
      </c>
      <c r="G19" s="1" t="s">
        <v>75</v>
      </c>
      <c r="H19" s="1" t="s">
        <v>32</v>
      </c>
      <c r="I19" s="1" t="s">
        <v>76</v>
      </c>
      <c r="J19" s="2">
        <v>46066</v>
      </c>
      <c r="K19" s="2">
        <v>46087</v>
      </c>
      <c r="L19" s="2">
        <v>46088</v>
      </c>
      <c r="M19" s="4">
        <f>DATEDIF(Data[[#This Row],[Issue Date]],Data[[#This Row],[Due Date]],"d")</f>
        <v>21</v>
      </c>
      <c r="N19" s="2" t="str">
        <f>IF(Data[[#This Row],[Due Date]]&lt;&gt;Data[[#This Row],[Return Date]],"Late Return","Return Book")</f>
        <v>Late Return</v>
      </c>
      <c r="O19" s="2" t="str">
        <f>TEXT(Data[[#This Row],[Issue Date]],"mmmm")</f>
        <v>February</v>
      </c>
    </row>
    <row r="20" spans="1:15" x14ac:dyDescent="0.25">
      <c r="A20">
        <v>5019</v>
      </c>
      <c r="B20">
        <v>113</v>
      </c>
      <c r="C20" s="1" t="s">
        <v>77</v>
      </c>
      <c r="D20" s="1" t="s">
        <v>78</v>
      </c>
      <c r="E20" s="1" t="s">
        <v>43</v>
      </c>
      <c r="F20">
        <v>2018</v>
      </c>
      <c r="G20" s="1" t="s">
        <v>79</v>
      </c>
      <c r="H20" s="1" t="s">
        <v>16</v>
      </c>
      <c r="I20" s="1" t="s">
        <v>49</v>
      </c>
      <c r="J20" s="2">
        <v>46071</v>
      </c>
      <c r="K20" s="2">
        <v>46085</v>
      </c>
      <c r="L20" s="2">
        <v>46086</v>
      </c>
      <c r="M20" s="4">
        <f>DATEDIF(Data[[#This Row],[Issue Date]],Data[[#This Row],[Due Date]],"d")</f>
        <v>14</v>
      </c>
      <c r="N20" s="2" t="str">
        <f>IF(Data[[#This Row],[Due Date]]&lt;&gt;Data[[#This Row],[Return Date]],"Late Return","Return Book")</f>
        <v>Late Return</v>
      </c>
      <c r="O20" s="2" t="str">
        <f>TEXT(Data[[#This Row],[Issue Date]],"mmmm")</f>
        <v>February</v>
      </c>
    </row>
    <row r="21" spans="1:15" x14ac:dyDescent="0.25">
      <c r="A21">
        <v>5020</v>
      </c>
      <c r="B21">
        <v>120</v>
      </c>
      <c r="C21" s="1" t="s">
        <v>80</v>
      </c>
      <c r="D21" s="1" t="s">
        <v>81</v>
      </c>
      <c r="E21" s="1" t="s">
        <v>82</v>
      </c>
      <c r="F21">
        <v>2001</v>
      </c>
      <c r="G21" s="1" t="s">
        <v>15</v>
      </c>
      <c r="H21" s="1" t="s">
        <v>16</v>
      </c>
      <c r="I21" s="1" t="s">
        <v>17</v>
      </c>
      <c r="J21" s="2">
        <v>46076</v>
      </c>
      <c r="K21" s="2">
        <v>46083</v>
      </c>
      <c r="L21" s="2">
        <v>46084</v>
      </c>
      <c r="M21" s="4">
        <f>DATEDIF(Data[[#This Row],[Issue Date]],Data[[#This Row],[Due Date]],"d")</f>
        <v>7</v>
      </c>
      <c r="N21" s="2" t="str">
        <f>IF(Data[[#This Row],[Due Date]]&lt;&gt;Data[[#This Row],[Return Date]],"Late Return","Return Book")</f>
        <v>Late Return</v>
      </c>
      <c r="O21" s="2" t="str">
        <f>TEXT(Data[[#This Row],[Issue Date]],"mmmm")</f>
        <v>February</v>
      </c>
    </row>
    <row r="22" spans="1:15" x14ac:dyDescent="0.25">
      <c r="A22">
        <v>5021</v>
      </c>
      <c r="B22">
        <v>107</v>
      </c>
      <c r="C22" s="1" t="s">
        <v>54</v>
      </c>
      <c r="D22" s="1" t="s">
        <v>55</v>
      </c>
      <c r="E22" s="1" t="s">
        <v>39</v>
      </c>
      <c r="F22">
        <v>2005</v>
      </c>
      <c r="G22" s="1" t="s">
        <v>67</v>
      </c>
      <c r="H22" s="1" t="s">
        <v>32</v>
      </c>
      <c r="I22" s="1" t="s">
        <v>68</v>
      </c>
      <c r="J22" s="2">
        <v>46081</v>
      </c>
      <c r="K22" s="2">
        <v>46111</v>
      </c>
      <c r="L22" s="2">
        <v>46111</v>
      </c>
      <c r="M22" s="4">
        <f>DATEDIF(Data[[#This Row],[Issue Date]],Data[[#This Row],[Due Date]],"d")</f>
        <v>30</v>
      </c>
      <c r="N22" s="2" t="str">
        <f>IF(Data[[#This Row],[Due Date]]&lt;&gt;Data[[#This Row],[Return Date]],"Late Return","Return Book")</f>
        <v>Return Book</v>
      </c>
      <c r="O22" s="2" t="str">
        <f>TEXT(Data[[#This Row],[Issue Date]],"mmmm")</f>
        <v>February</v>
      </c>
    </row>
    <row r="23" spans="1:15" x14ac:dyDescent="0.25">
      <c r="A23">
        <v>5022</v>
      </c>
      <c r="B23">
        <v>115</v>
      </c>
      <c r="C23" s="1" t="s">
        <v>23</v>
      </c>
      <c r="D23" s="1" t="s">
        <v>24</v>
      </c>
      <c r="E23" s="1" t="s">
        <v>25</v>
      </c>
      <c r="F23">
        <v>2008</v>
      </c>
      <c r="G23" s="1" t="s">
        <v>83</v>
      </c>
      <c r="H23" s="1" t="s">
        <v>16</v>
      </c>
      <c r="I23" s="1" t="s">
        <v>17</v>
      </c>
      <c r="J23" s="2">
        <v>46065</v>
      </c>
      <c r="K23" s="2">
        <v>46072</v>
      </c>
      <c r="L23" s="2">
        <v>46071</v>
      </c>
      <c r="M23" s="4">
        <f>DATEDIF(Data[[#This Row],[Issue Date]],Data[[#This Row],[Due Date]],"d")</f>
        <v>7</v>
      </c>
      <c r="N23" s="2" t="str">
        <f>IF(Data[[#This Row],[Due Date]]&lt;&gt;Data[[#This Row],[Return Date]],"Late Return","Return Book")</f>
        <v>Late Return</v>
      </c>
      <c r="O23" s="2" t="str">
        <f>TEXT(Data[[#This Row],[Issue Date]],"mmmm")</f>
        <v>February</v>
      </c>
    </row>
    <row r="24" spans="1:15" x14ac:dyDescent="0.25">
      <c r="A24">
        <v>5023</v>
      </c>
      <c r="B24">
        <v>102</v>
      </c>
      <c r="C24" s="1" t="s">
        <v>84</v>
      </c>
      <c r="D24" s="1" t="s">
        <v>85</v>
      </c>
      <c r="E24" s="1" t="s">
        <v>86</v>
      </c>
      <c r="F24">
        <v>2011</v>
      </c>
      <c r="G24" s="1" t="s">
        <v>87</v>
      </c>
      <c r="H24" s="1" t="s">
        <v>16</v>
      </c>
      <c r="I24" s="1" t="s">
        <v>49</v>
      </c>
      <c r="J24" s="2">
        <v>46070</v>
      </c>
      <c r="K24" s="2">
        <v>46084</v>
      </c>
      <c r="L24" s="2">
        <v>46082</v>
      </c>
      <c r="M24" s="4">
        <f>DATEDIF(Data[[#This Row],[Issue Date]],Data[[#This Row],[Due Date]],"d")</f>
        <v>14</v>
      </c>
      <c r="N24" s="2" t="str">
        <f>IF(Data[[#This Row],[Due Date]]&lt;&gt;Data[[#This Row],[Return Date]],"Late Return","Return Book")</f>
        <v>Late Return</v>
      </c>
      <c r="O24" s="2" t="str">
        <f>TEXT(Data[[#This Row],[Issue Date]],"mmmm")</f>
        <v>February</v>
      </c>
    </row>
    <row r="25" spans="1:15" x14ac:dyDescent="0.25">
      <c r="A25">
        <v>5024</v>
      </c>
      <c r="B25">
        <v>109</v>
      </c>
      <c r="C25" s="1" t="s">
        <v>61</v>
      </c>
      <c r="D25" s="1" t="s">
        <v>62</v>
      </c>
      <c r="E25" s="1" t="s">
        <v>52</v>
      </c>
      <c r="F25">
        <v>2014</v>
      </c>
      <c r="G25" s="1" t="s">
        <v>88</v>
      </c>
      <c r="H25" s="1" t="s">
        <v>16</v>
      </c>
      <c r="I25" s="1" t="s">
        <v>17</v>
      </c>
      <c r="J25" s="2">
        <v>46075</v>
      </c>
      <c r="K25" s="2">
        <v>46089</v>
      </c>
      <c r="L25" s="2">
        <v>46086</v>
      </c>
      <c r="M25" s="4">
        <f>DATEDIF(Data[[#This Row],[Issue Date]],Data[[#This Row],[Due Date]],"d")</f>
        <v>14</v>
      </c>
      <c r="N25" s="2" t="str">
        <f>IF(Data[[#This Row],[Due Date]]&lt;&gt;Data[[#This Row],[Return Date]],"Late Return","Return Book")</f>
        <v>Late Return</v>
      </c>
      <c r="O25" s="2" t="str">
        <f>TEXT(Data[[#This Row],[Issue Date]],"mmmm")</f>
        <v>February</v>
      </c>
    </row>
    <row r="26" spans="1:15" x14ac:dyDescent="0.25">
      <c r="A26">
        <v>5025</v>
      </c>
      <c r="B26">
        <v>117</v>
      </c>
      <c r="C26" s="1" t="s">
        <v>37</v>
      </c>
      <c r="D26" s="1" t="s">
        <v>38</v>
      </c>
      <c r="E26" s="1" t="s">
        <v>39</v>
      </c>
      <c r="F26">
        <v>2017</v>
      </c>
      <c r="G26" s="1" t="s">
        <v>40</v>
      </c>
      <c r="H26" s="1" t="s">
        <v>27</v>
      </c>
      <c r="I26" s="1" t="s">
        <v>20</v>
      </c>
      <c r="J26" s="2">
        <v>46080</v>
      </c>
      <c r="K26" s="2">
        <v>46101</v>
      </c>
      <c r="L26" s="2">
        <v>46097</v>
      </c>
      <c r="M26" s="4">
        <f>DATEDIF(Data[[#This Row],[Issue Date]],Data[[#This Row],[Due Date]],"d")</f>
        <v>21</v>
      </c>
      <c r="N26" s="2" t="str">
        <f>IF(Data[[#This Row],[Due Date]]&lt;&gt;Data[[#This Row],[Return Date]],"Late Return","Return Book")</f>
        <v>Late Return</v>
      </c>
      <c r="O26" s="2" t="str">
        <f>TEXT(Data[[#This Row],[Issue Date]],"mmmm")</f>
        <v>February</v>
      </c>
    </row>
    <row r="27" spans="1:15" x14ac:dyDescent="0.25">
      <c r="A27">
        <v>5026</v>
      </c>
      <c r="B27">
        <v>104</v>
      </c>
      <c r="C27" s="1" t="s">
        <v>89</v>
      </c>
      <c r="D27" s="1" t="s">
        <v>90</v>
      </c>
      <c r="E27" s="1" t="s">
        <v>20</v>
      </c>
      <c r="F27">
        <v>2001</v>
      </c>
      <c r="G27" s="1" t="s">
        <v>15</v>
      </c>
      <c r="H27" s="1" t="s">
        <v>16</v>
      </c>
      <c r="I27" s="1" t="s">
        <v>17</v>
      </c>
      <c r="J27" s="2">
        <v>46085</v>
      </c>
      <c r="K27" s="2">
        <v>46099</v>
      </c>
      <c r="L27" s="2">
        <v>46099</v>
      </c>
      <c r="M27" s="4">
        <f>DATEDIF(Data[[#This Row],[Issue Date]],Data[[#This Row],[Due Date]],"d")</f>
        <v>14</v>
      </c>
      <c r="N27" s="2" t="str">
        <f>IF(Data[[#This Row],[Due Date]]&lt;&gt;Data[[#This Row],[Return Date]],"Late Return","Return Book")</f>
        <v>Return Book</v>
      </c>
      <c r="O27" s="2" t="str">
        <f>TEXT(Data[[#This Row],[Issue Date]],"mmmm")</f>
        <v>March</v>
      </c>
    </row>
    <row r="28" spans="1:15" x14ac:dyDescent="0.25">
      <c r="A28">
        <v>5027</v>
      </c>
      <c r="B28">
        <v>111</v>
      </c>
      <c r="C28" s="1" t="s">
        <v>69</v>
      </c>
      <c r="D28" s="1" t="s">
        <v>70</v>
      </c>
      <c r="E28" s="1" t="s">
        <v>47</v>
      </c>
      <c r="F28">
        <v>2004</v>
      </c>
      <c r="G28" s="1" t="s">
        <v>21</v>
      </c>
      <c r="H28" s="1" t="s">
        <v>16</v>
      </c>
      <c r="I28" s="1" t="s">
        <v>22</v>
      </c>
      <c r="J28" s="2">
        <v>46090</v>
      </c>
      <c r="K28" s="2">
        <v>46097</v>
      </c>
      <c r="L28" s="2">
        <v>46099</v>
      </c>
      <c r="M28" s="4">
        <f>DATEDIF(Data[[#This Row],[Issue Date]],Data[[#This Row],[Due Date]],"d")</f>
        <v>7</v>
      </c>
      <c r="N28" s="2" t="str">
        <f>IF(Data[[#This Row],[Due Date]]&lt;&gt;Data[[#This Row],[Return Date]],"Late Return","Return Book")</f>
        <v>Late Return</v>
      </c>
      <c r="O28" s="2" t="str">
        <f>TEXT(Data[[#This Row],[Issue Date]],"mmmm")</f>
        <v>March</v>
      </c>
    </row>
    <row r="29" spans="1:15" x14ac:dyDescent="0.25">
      <c r="A29">
        <v>5028</v>
      </c>
      <c r="B29">
        <v>119</v>
      </c>
      <c r="C29" s="1" t="s">
        <v>50</v>
      </c>
      <c r="D29" s="1" t="s">
        <v>51</v>
      </c>
      <c r="E29" s="1" t="s">
        <v>52</v>
      </c>
      <c r="F29">
        <v>2007</v>
      </c>
      <c r="G29" s="1" t="s">
        <v>26</v>
      </c>
      <c r="H29" s="1" t="s">
        <v>27</v>
      </c>
      <c r="I29" s="1" t="s">
        <v>28</v>
      </c>
      <c r="J29" s="2">
        <v>46095</v>
      </c>
      <c r="K29" s="2">
        <v>46125</v>
      </c>
      <c r="L29" s="2">
        <v>46100</v>
      </c>
      <c r="M29" s="4">
        <f>DATEDIF(Data[[#This Row],[Issue Date]],Data[[#This Row],[Due Date]],"d")</f>
        <v>30</v>
      </c>
      <c r="N29" s="2" t="str">
        <f>IF(Data[[#This Row],[Due Date]]&lt;&gt;Data[[#This Row],[Return Date]],"Late Return","Return Book")</f>
        <v>Late Return</v>
      </c>
      <c r="O29" s="2" t="str">
        <f>TEXT(Data[[#This Row],[Issue Date]],"mmmm")</f>
        <v>March</v>
      </c>
    </row>
    <row r="30" spans="1:15" x14ac:dyDescent="0.25">
      <c r="A30">
        <v>5029</v>
      </c>
      <c r="B30">
        <v>106</v>
      </c>
      <c r="C30" s="1" t="s">
        <v>91</v>
      </c>
      <c r="D30" s="1" t="s">
        <v>92</v>
      </c>
      <c r="E30" s="1" t="s">
        <v>39</v>
      </c>
      <c r="F30">
        <v>2010</v>
      </c>
      <c r="G30" s="1" t="s">
        <v>31</v>
      </c>
      <c r="H30" s="1" t="s">
        <v>32</v>
      </c>
      <c r="I30" s="1" t="s">
        <v>33</v>
      </c>
      <c r="J30" s="2">
        <v>46079</v>
      </c>
      <c r="K30" s="2">
        <v>46086</v>
      </c>
      <c r="L30" s="2">
        <v>46101</v>
      </c>
      <c r="M30" s="4">
        <f>DATEDIF(Data[[#This Row],[Issue Date]],Data[[#This Row],[Due Date]],"d")</f>
        <v>7</v>
      </c>
      <c r="N30" s="2" t="str">
        <f>IF(Data[[#This Row],[Due Date]]&lt;&gt;Data[[#This Row],[Return Date]],"Late Return","Return Book")</f>
        <v>Late Return</v>
      </c>
      <c r="O30" s="2" t="str">
        <f>TEXT(Data[[#This Row],[Issue Date]],"mmmm")</f>
        <v>February</v>
      </c>
    </row>
    <row r="31" spans="1:15" x14ac:dyDescent="0.25">
      <c r="A31">
        <v>5030</v>
      </c>
      <c r="B31">
        <v>113</v>
      </c>
      <c r="C31" s="1" t="s">
        <v>77</v>
      </c>
      <c r="D31" s="1" t="s">
        <v>78</v>
      </c>
      <c r="E31" s="1" t="s">
        <v>43</v>
      </c>
      <c r="F31">
        <v>2013</v>
      </c>
      <c r="G31" s="1" t="s">
        <v>36</v>
      </c>
      <c r="H31" s="1" t="s">
        <v>16</v>
      </c>
      <c r="I31" s="1" t="s">
        <v>22</v>
      </c>
      <c r="J31" s="2">
        <v>46084</v>
      </c>
      <c r="K31" s="2">
        <v>46098</v>
      </c>
      <c r="L31" s="2">
        <v>46102</v>
      </c>
      <c r="M31" s="4">
        <f>DATEDIF(Data[[#This Row],[Issue Date]],Data[[#This Row],[Due Date]],"d")</f>
        <v>14</v>
      </c>
      <c r="N31" s="2" t="str">
        <f>IF(Data[[#This Row],[Due Date]]&lt;&gt;Data[[#This Row],[Return Date]],"Late Return","Return Book")</f>
        <v>Late Return</v>
      </c>
      <c r="O31" s="2" t="str">
        <f>TEXT(Data[[#This Row],[Issue Date]],"mmmm")</f>
        <v>March</v>
      </c>
    </row>
    <row r="32" spans="1:15" x14ac:dyDescent="0.25">
      <c r="A32">
        <v>5031</v>
      </c>
      <c r="B32">
        <v>101</v>
      </c>
      <c r="C32" s="1" t="s">
        <v>12</v>
      </c>
      <c r="D32" s="1" t="s">
        <v>13</v>
      </c>
      <c r="E32" s="1" t="s">
        <v>14</v>
      </c>
      <c r="F32">
        <v>2017</v>
      </c>
      <c r="G32" s="1" t="s">
        <v>40</v>
      </c>
      <c r="H32" s="1" t="s">
        <v>27</v>
      </c>
      <c r="I32" s="1" t="s">
        <v>20</v>
      </c>
      <c r="J32" s="2">
        <v>46089</v>
      </c>
      <c r="K32" s="2">
        <v>46103</v>
      </c>
      <c r="L32" s="2">
        <v>46103</v>
      </c>
      <c r="M32" s="4">
        <f>DATEDIF(Data[[#This Row],[Issue Date]],Data[[#This Row],[Due Date]],"d")</f>
        <v>14</v>
      </c>
      <c r="N32" s="2" t="str">
        <f>IF(Data[[#This Row],[Due Date]]&lt;&gt;Data[[#This Row],[Return Date]],"Late Return","Return Book")</f>
        <v>Return Book</v>
      </c>
      <c r="O32" s="2" t="str">
        <f>TEXT(Data[[#This Row],[Issue Date]],"mmmm")</f>
        <v>March</v>
      </c>
    </row>
    <row r="33" spans="1:15" x14ac:dyDescent="0.25">
      <c r="A33">
        <v>5032</v>
      </c>
      <c r="B33">
        <v>108</v>
      </c>
      <c r="C33" s="1" t="s">
        <v>18</v>
      </c>
      <c r="D33" s="1" t="s">
        <v>19</v>
      </c>
      <c r="E33" s="1" t="s">
        <v>20</v>
      </c>
      <c r="F33">
        <v>2020</v>
      </c>
      <c r="G33" s="1" t="s">
        <v>44</v>
      </c>
      <c r="H33" s="1" t="s">
        <v>16</v>
      </c>
      <c r="I33" s="1" t="s">
        <v>22</v>
      </c>
      <c r="J33" s="2">
        <v>46094</v>
      </c>
      <c r="K33" s="2">
        <v>46115</v>
      </c>
      <c r="L33" s="2">
        <v>46114</v>
      </c>
      <c r="M33" s="4">
        <f>DATEDIF(Data[[#This Row],[Issue Date]],Data[[#This Row],[Due Date]],"d")</f>
        <v>21</v>
      </c>
      <c r="N33" s="2" t="str">
        <f>IF(Data[[#This Row],[Due Date]]&lt;&gt;Data[[#This Row],[Return Date]],"Late Return","Return Book")</f>
        <v>Late Return</v>
      </c>
      <c r="O33" s="2" t="str">
        <f>TEXT(Data[[#This Row],[Issue Date]],"mmmm")</f>
        <v>March</v>
      </c>
    </row>
    <row r="34" spans="1:15" x14ac:dyDescent="0.25">
      <c r="A34">
        <v>5033</v>
      </c>
      <c r="B34">
        <v>115</v>
      </c>
      <c r="C34" s="1" t="s">
        <v>23</v>
      </c>
      <c r="D34" s="1" t="s">
        <v>24</v>
      </c>
      <c r="E34" s="1" t="s">
        <v>25</v>
      </c>
      <c r="F34">
        <v>2003</v>
      </c>
      <c r="G34" s="1" t="s">
        <v>48</v>
      </c>
      <c r="H34" s="1" t="s">
        <v>27</v>
      </c>
      <c r="I34" s="1" t="s">
        <v>49</v>
      </c>
      <c r="J34" s="2">
        <v>46099</v>
      </c>
      <c r="K34" s="2">
        <v>46113</v>
      </c>
      <c r="L34" s="2">
        <v>46111</v>
      </c>
      <c r="M34" s="4">
        <f>DATEDIF(Data[[#This Row],[Issue Date]],Data[[#This Row],[Due Date]],"d")</f>
        <v>14</v>
      </c>
      <c r="N34" s="2" t="str">
        <f>IF(Data[[#This Row],[Due Date]]&lt;&gt;Data[[#This Row],[Return Date]],"Late Return","Return Book")</f>
        <v>Late Return</v>
      </c>
      <c r="O34" s="2" t="str">
        <f>TEXT(Data[[#This Row],[Issue Date]],"mmmm")</f>
        <v>March</v>
      </c>
    </row>
    <row r="35" spans="1:15" x14ac:dyDescent="0.25">
      <c r="A35">
        <v>5034</v>
      </c>
      <c r="B35">
        <v>103</v>
      </c>
      <c r="C35" s="1" t="s">
        <v>29</v>
      </c>
      <c r="D35" s="1" t="s">
        <v>30</v>
      </c>
      <c r="E35" s="1" t="s">
        <v>25</v>
      </c>
      <c r="F35">
        <v>2006</v>
      </c>
      <c r="G35" s="1" t="s">
        <v>53</v>
      </c>
      <c r="H35" s="1" t="s">
        <v>16</v>
      </c>
      <c r="I35" s="1" t="s">
        <v>49</v>
      </c>
      <c r="J35" s="2">
        <v>46104</v>
      </c>
      <c r="K35" s="2">
        <v>46111</v>
      </c>
      <c r="L35" s="2">
        <v>46108</v>
      </c>
      <c r="M35" s="4">
        <f>DATEDIF(Data[[#This Row],[Issue Date]],Data[[#This Row],[Due Date]],"d")</f>
        <v>7</v>
      </c>
      <c r="N35" s="2" t="str">
        <f>IF(Data[[#This Row],[Due Date]]&lt;&gt;Data[[#This Row],[Return Date]],"Late Return","Return Book")</f>
        <v>Late Return</v>
      </c>
      <c r="O35" s="2" t="str">
        <f>TEXT(Data[[#This Row],[Issue Date]],"mmmm")</f>
        <v>March</v>
      </c>
    </row>
    <row r="36" spans="1:15" x14ac:dyDescent="0.25">
      <c r="A36">
        <v>5035</v>
      </c>
      <c r="B36">
        <v>110</v>
      </c>
      <c r="C36" s="1" t="s">
        <v>34</v>
      </c>
      <c r="D36" s="1" t="s">
        <v>35</v>
      </c>
      <c r="E36" s="1" t="s">
        <v>25</v>
      </c>
      <c r="F36">
        <v>2009</v>
      </c>
      <c r="G36" s="1" t="s">
        <v>56</v>
      </c>
      <c r="H36" s="1" t="s">
        <v>16</v>
      </c>
      <c r="I36" s="1" t="s">
        <v>57</v>
      </c>
      <c r="J36" s="2">
        <v>46109</v>
      </c>
      <c r="K36" s="2">
        <v>46139</v>
      </c>
      <c r="L36" s="2">
        <v>46135</v>
      </c>
      <c r="M36" s="4">
        <f>DATEDIF(Data[[#This Row],[Issue Date]],Data[[#This Row],[Due Date]],"d")</f>
        <v>30</v>
      </c>
      <c r="N36" s="2" t="str">
        <f>IF(Data[[#This Row],[Due Date]]&lt;&gt;Data[[#This Row],[Return Date]],"Late Return","Return Book")</f>
        <v>Late Return</v>
      </c>
      <c r="O36" s="2" t="str">
        <f>TEXT(Data[[#This Row],[Issue Date]],"mmmm")</f>
        <v>March</v>
      </c>
    </row>
    <row r="37" spans="1:15" x14ac:dyDescent="0.25">
      <c r="A37">
        <v>5036</v>
      </c>
      <c r="B37">
        <v>117</v>
      </c>
      <c r="C37" s="1" t="s">
        <v>37</v>
      </c>
      <c r="D37" s="1" t="s">
        <v>38</v>
      </c>
      <c r="E37" s="1" t="s">
        <v>39</v>
      </c>
      <c r="F37">
        <v>2013</v>
      </c>
      <c r="G37" s="1" t="s">
        <v>36</v>
      </c>
      <c r="H37" s="1" t="s">
        <v>16</v>
      </c>
      <c r="I37" s="1" t="s">
        <v>22</v>
      </c>
      <c r="J37" s="2">
        <v>46093</v>
      </c>
      <c r="K37" s="2">
        <v>46100</v>
      </c>
      <c r="L37" s="2">
        <v>46101</v>
      </c>
      <c r="M37" s="4">
        <f>DATEDIF(Data[[#This Row],[Issue Date]],Data[[#This Row],[Due Date]],"d")</f>
        <v>7</v>
      </c>
      <c r="N37" s="2" t="str">
        <f>IF(Data[[#This Row],[Due Date]]&lt;&gt;Data[[#This Row],[Return Date]],"Late Return","Return Book")</f>
        <v>Late Return</v>
      </c>
      <c r="O37" s="2" t="str">
        <f>TEXT(Data[[#This Row],[Issue Date]],"mmmm")</f>
        <v>March</v>
      </c>
    </row>
    <row r="38" spans="1:15" x14ac:dyDescent="0.25">
      <c r="A38">
        <v>5037</v>
      </c>
      <c r="B38">
        <v>105</v>
      </c>
      <c r="C38" s="1" t="s">
        <v>41</v>
      </c>
      <c r="D38" s="1" t="s">
        <v>42</v>
      </c>
      <c r="E38" s="1" t="s">
        <v>43</v>
      </c>
      <c r="F38">
        <v>2016</v>
      </c>
      <c r="G38" s="1" t="s">
        <v>60</v>
      </c>
      <c r="H38" s="1" t="s">
        <v>16</v>
      </c>
      <c r="I38" s="1" t="s">
        <v>57</v>
      </c>
      <c r="J38" s="2">
        <v>46098</v>
      </c>
      <c r="K38" s="2">
        <v>46112</v>
      </c>
      <c r="L38" s="2">
        <v>46112</v>
      </c>
      <c r="M38" s="4">
        <f>DATEDIF(Data[[#This Row],[Issue Date]],Data[[#This Row],[Due Date]],"d")</f>
        <v>14</v>
      </c>
      <c r="N38" s="2" t="str">
        <f>IF(Data[[#This Row],[Due Date]]&lt;&gt;Data[[#This Row],[Return Date]],"Late Return","Return Book")</f>
        <v>Return Book</v>
      </c>
      <c r="O38" s="2" t="str">
        <f>TEXT(Data[[#This Row],[Issue Date]],"mmmm")</f>
        <v>March</v>
      </c>
    </row>
    <row r="39" spans="1:15" x14ac:dyDescent="0.25">
      <c r="A39">
        <v>5038</v>
      </c>
      <c r="B39">
        <v>112</v>
      </c>
      <c r="C39" s="1" t="s">
        <v>45</v>
      </c>
      <c r="D39" s="1" t="s">
        <v>46</v>
      </c>
      <c r="E39" s="1" t="s">
        <v>47</v>
      </c>
      <c r="F39">
        <v>2019</v>
      </c>
      <c r="G39" s="1" t="s">
        <v>63</v>
      </c>
      <c r="H39" s="1" t="s">
        <v>16</v>
      </c>
      <c r="I39" s="1" t="s">
        <v>17</v>
      </c>
      <c r="J39" s="2">
        <v>46103</v>
      </c>
      <c r="K39" s="2">
        <v>46117</v>
      </c>
      <c r="L39" s="2">
        <v>46117</v>
      </c>
      <c r="M39" s="4">
        <f>DATEDIF(Data[[#This Row],[Issue Date]],Data[[#This Row],[Due Date]],"d")</f>
        <v>14</v>
      </c>
      <c r="N39" s="2" t="str">
        <f>IF(Data[[#This Row],[Due Date]]&lt;&gt;Data[[#This Row],[Return Date]],"Late Return","Return Book")</f>
        <v>Return Book</v>
      </c>
      <c r="O39" s="2" t="str">
        <f>TEXT(Data[[#This Row],[Issue Date]],"mmmm")</f>
        <v>March</v>
      </c>
    </row>
    <row r="40" spans="1:15" x14ac:dyDescent="0.25">
      <c r="A40">
        <v>5039</v>
      </c>
      <c r="B40">
        <v>119</v>
      </c>
      <c r="C40" s="1" t="s">
        <v>50</v>
      </c>
      <c r="D40" s="1" t="s">
        <v>51</v>
      </c>
      <c r="E40" s="1" t="s">
        <v>52</v>
      </c>
      <c r="F40">
        <v>2002</v>
      </c>
      <c r="G40" s="1" t="s">
        <v>66</v>
      </c>
      <c r="H40" s="1" t="s">
        <v>16</v>
      </c>
      <c r="I40" s="1" t="s">
        <v>57</v>
      </c>
      <c r="J40" s="2">
        <v>46108</v>
      </c>
      <c r="K40" s="2">
        <v>46129</v>
      </c>
      <c r="L40" s="2">
        <v>46129</v>
      </c>
      <c r="M40" s="4">
        <f>DATEDIF(Data[[#This Row],[Issue Date]],Data[[#This Row],[Due Date]],"d")</f>
        <v>21</v>
      </c>
      <c r="N40" s="2" t="str">
        <f>IF(Data[[#This Row],[Due Date]]&lt;&gt;Data[[#This Row],[Return Date]],"Late Return","Return Book")</f>
        <v>Return Book</v>
      </c>
      <c r="O40" s="2" t="str">
        <f>TEXT(Data[[#This Row],[Issue Date]],"mmmm")</f>
        <v>March</v>
      </c>
    </row>
    <row r="41" spans="1:15" x14ac:dyDescent="0.25">
      <c r="A41">
        <v>5040</v>
      </c>
      <c r="B41">
        <v>107</v>
      </c>
      <c r="C41" s="1" t="s">
        <v>54</v>
      </c>
      <c r="D41" s="1" t="s">
        <v>55</v>
      </c>
      <c r="E41" s="1" t="s">
        <v>39</v>
      </c>
      <c r="F41">
        <v>2005</v>
      </c>
      <c r="G41" s="1" t="s">
        <v>67</v>
      </c>
      <c r="H41" s="1" t="s">
        <v>32</v>
      </c>
      <c r="I41" s="1" t="s">
        <v>68</v>
      </c>
      <c r="J41" s="2">
        <v>46113</v>
      </c>
      <c r="K41" s="2">
        <v>46127</v>
      </c>
      <c r="L41" s="2">
        <v>46127</v>
      </c>
      <c r="M41" s="4">
        <f>DATEDIF(Data[[#This Row],[Issue Date]],Data[[#This Row],[Due Date]],"d")</f>
        <v>14</v>
      </c>
      <c r="N41" s="2" t="str">
        <f>IF(Data[[#This Row],[Due Date]]&lt;&gt;Data[[#This Row],[Return Date]],"Late Return","Return Book")</f>
        <v>Return Book</v>
      </c>
      <c r="O41" s="2" t="str">
        <f>TEXT(Data[[#This Row],[Issue Date]],"mmmm")</f>
        <v>April</v>
      </c>
    </row>
    <row r="42" spans="1:15" x14ac:dyDescent="0.25">
      <c r="A42">
        <v>5041</v>
      </c>
      <c r="B42">
        <v>114</v>
      </c>
      <c r="C42" s="1" t="s">
        <v>58</v>
      </c>
      <c r="D42" s="1" t="s">
        <v>59</v>
      </c>
      <c r="E42" s="1" t="s">
        <v>52</v>
      </c>
      <c r="F42">
        <v>2009</v>
      </c>
      <c r="G42" s="1" t="s">
        <v>56</v>
      </c>
      <c r="H42" s="1" t="s">
        <v>16</v>
      </c>
      <c r="I42" s="1" t="s">
        <v>57</v>
      </c>
      <c r="J42" s="2">
        <v>46118</v>
      </c>
      <c r="K42" s="2">
        <v>46125</v>
      </c>
      <c r="L42" s="2">
        <v>46125</v>
      </c>
      <c r="M42" s="4">
        <f>DATEDIF(Data[[#This Row],[Issue Date]],Data[[#This Row],[Due Date]],"d")</f>
        <v>7</v>
      </c>
      <c r="N42" s="2" t="str">
        <f>IF(Data[[#This Row],[Due Date]]&lt;&gt;Data[[#This Row],[Return Date]],"Late Return","Return Book")</f>
        <v>Return Book</v>
      </c>
      <c r="O42" s="2" t="str">
        <f>TEXT(Data[[#This Row],[Issue Date]],"mmmm")</f>
        <v>April</v>
      </c>
    </row>
    <row r="43" spans="1:15" x14ac:dyDescent="0.25">
      <c r="A43">
        <v>5042</v>
      </c>
      <c r="B43">
        <v>101</v>
      </c>
      <c r="C43" s="1" t="s">
        <v>12</v>
      </c>
      <c r="D43" s="1" t="s">
        <v>13</v>
      </c>
      <c r="E43" s="1" t="s">
        <v>14</v>
      </c>
      <c r="F43">
        <v>2012</v>
      </c>
      <c r="G43" s="1" t="s">
        <v>73</v>
      </c>
      <c r="H43" s="1" t="s">
        <v>27</v>
      </c>
      <c r="I43" s="1" t="s">
        <v>74</v>
      </c>
      <c r="J43" s="2">
        <v>46123</v>
      </c>
      <c r="K43" s="2">
        <v>46153</v>
      </c>
      <c r="L43" s="2">
        <v>46152</v>
      </c>
      <c r="M43" s="4">
        <f>DATEDIF(Data[[#This Row],[Issue Date]],Data[[#This Row],[Due Date]],"d")</f>
        <v>30</v>
      </c>
      <c r="N43" s="2" t="str">
        <f>IF(Data[[#This Row],[Due Date]]&lt;&gt;Data[[#This Row],[Return Date]],"Late Return","Return Book")</f>
        <v>Late Return</v>
      </c>
      <c r="O43" s="2" t="str">
        <f>TEXT(Data[[#This Row],[Issue Date]],"mmmm")</f>
        <v>April</v>
      </c>
    </row>
    <row r="44" spans="1:15" x14ac:dyDescent="0.25">
      <c r="A44">
        <v>5043</v>
      </c>
      <c r="B44">
        <v>109</v>
      </c>
      <c r="C44" s="1" t="s">
        <v>61</v>
      </c>
      <c r="D44" s="1" t="s">
        <v>62</v>
      </c>
      <c r="E44" s="1" t="s">
        <v>52</v>
      </c>
      <c r="F44">
        <v>2015</v>
      </c>
      <c r="G44" s="1" t="s">
        <v>75</v>
      </c>
      <c r="H44" s="1" t="s">
        <v>32</v>
      </c>
      <c r="I44" s="1" t="s">
        <v>76</v>
      </c>
      <c r="J44" s="2">
        <v>46107</v>
      </c>
      <c r="K44" s="2">
        <v>46114</v>
      </c>
      <c r="L44" s="2">
        <v>46112</v>
      </c>
      <c r="M44" s="4">
        <f>DATEDIF(Data[[#This Row],[Issue Date]],Data[[#This Row],[Due Date]],"d")</f>
        <v>7</v>
      </c>
      <c r="N44" s="2" t="str">
        <f>IF(Data[[#This Row],[Due Date]]&lt;&gt;Data[[#This Row],[Return Date]],"Late Return","Return Book")</f>
        <v>Late Return</v>
      </c>
      <c r="O44" s="2" t="str">
        <f>TEXT(Data[[#This Row],[Issue Date]],"mmmm")</f>
        <v>March</v>
      </c>
    </row>
    <row r="45" spans="1:15" x14ac:dyDescent="0.25">
      <c r="A45">
        <v>5044</v>
      </c>
      <c r="B45">
        <v>116</v>
      </c>
      <c r="C45" s="1" t="s">
        <v>64</v>
      </c>
      <c r="D45" s="1" t="s">
        <v>65</v>
      </c>
      <c r="E45" s="1" t="s">
        <v>20</v>
      </c>
      <c r="F45">
        <v>2018</v>
      </c>
      <c r="G45" s="1" t="s">
        <v>79</v>
      </c>
      <c r="H45" s="1" t="s">
        <v>16</v>
      </c>
      <c r="I45" s="1" t="s">
        <v>49</v>
      </c>
      <c r="J45" s="2">
        <v>46112</v>
      </c>
      <c r="K45" s="2">
        <v>46126</v>
      </c>
      <c r="L45" s="2">
        <v>46123</v>
      </c>
      <c r="M45" s="4">
        <f>DATEDIF(Data[[#This Row],[Issue Date]],Data[[#This Row],[Due Date]],"d")</f>
        <v>14</v>
      </c>
      <c r="N45" s="2" t="str">
        <f>IF(Data[[#This Row],[Due Date]]&lt;&gt;Data[[#This Row],[Return Date]],"Late Return","Return Book")</f>
        <v>Late Return</v>
      </c>
      <c r="O45" s="2" t="str">
        <f>TEXT(Data[[#This Row],[Issue Date]],"mmmm")</f>
        <v>March</v>
      </c>
    </row>
    <row r="46" spans="1:15" x14ac:dyDescent="0.25">
      <c r="A46">
        <v>5045</v>
      </c>
      <c r="B46">
        <v>103</v>
      </c>
      <c r="C46" s="1" t="s">
        <v>29</v>
      </c>
      <c r="D46" s="1" t="s">
        <v>30</v>
      </c>
      <c r="E46" s="1" t="s">
        <v>25</v>
      </c>
      <c r="F46">
        <v>2001</v>
      </c>
      <c r="G46" s="1" t="s">
        <v>15</v>
      </c>
      <c r="H46" s="1" t="s">
        <v>16</v>
      </c>
      <c r="I46" s="1" t="s">
        <v>17</v>
      </c>
      <c r="J46" s="2">
        <v>46117</v>
      </c>
      <c r="K46" s="2">
        <v>46131</v>
      </c>
      <c r="L46" s="2">
        <v>46127</v>
      </c>
      <c r="M46" s="4">
        <f>DATEDIF(Data[[#This Row],[Issue Date]],Data[[#This Row],[Due Date]],"d")</f>
        <v>14</v>
      </c>
      <c r="N46" s="2" t="str">
        <f>IF(Data[[#This Row],[Due Date]]&lt;&gt;Data[[#This Row],[Return Date]],"Late Return","Return Book")</f>
        <v>Late Return</v>
      </c>
      <c r="O46" s="2" t="str">
        <f>TEXT(Data[[#This Row],[Issue Date]],"mmmm")</f>
        <v>April</v>
      </c>
    </row>
    <row r="47" spans="1:15" x14ac:dyDescent="0.25">
      <c r="A47">
        <v>5046</v>
      </c>
      <c r="B47">
        <v>111</v>
      </c>
      <c r="C47" s="1" t="s">
        <v>69</v>
      </c>
      <c r="D47" s="1" t="s">
        <v>70</v>
      </c>
      <c r="E47" s="1" t="s">
        <v>47</v>
      </c>
      <c r="F47">
        <v>2005</v>
      </c>
      <c r="G47" s="1" t="s">
        <v>67</v>
      </c>
      <c r="H47" s="1" t="s">
        <v>32</v>
      </c>
      <c r="I47" s="1" t="s">
        <v>68</v>
      </c>
      <c r="J47" s="2">
        <v>46122</v>
      </c>
      <c r="K47" s="2">
        <v>46143</v>
      </c>
      <c r="L47" s="2">
        <v>46143</v>
      </c>
      <c r="M47" s="4">
        <f>DATEDIF(Data[[#This Row],[Issue Date]],Data[[#This Row],[Due Date]],"d")</f>
        <v>21</v>
      </c>
      <c r="N47" s="2" t="str">
        <f>IF(Data[[#This Row],[Due Date]]&lt;&gt;Data[[#This Row],[Return Date]],"Late Return","Return Book")</f>
        <v>Return Book</v>
      </c>
      <c r="O47" s="2" t="str">
        <f>TEXT(Data[[#This Row],[Issue Date]],"mmmm")</f>
        <v>April</v>
      </c>
    </row>
    <row r="48" spans="1:15" x14ac:dyDescent="0.25">
      <c r="A48">
        <v>5047</v>
      </c>
      <c r="B48">
        <v>118</v>
      </c>
      <c r="C48" s="1" t="s">
        <v>71</v>
      </c>
      <c r="D48" s="1" t="s">
        <v>72</v>
      </c>
      <c r="E48" s="1" t="s">
        <v>47</v>
      </c>
      <c r="F48">
        <v>2008</v>
      </c>
      <c r="G48" s="1" t="s">
        <v>83</v>
      </c>
      <c r="H48" s="1" t="s">
        <v>16</v>
      </c>
      <c r="I48" s="1" t="s">
        <v>17</v>
      </c>
      <c r="J48" s="2">
        <v>46127</v>
      </c>
      <c r="K48" s="2">
        <v>46141</v>
      </c>
      <c r="L48" s="2">
        <v>46141</v>
      </c>
      <c r="M48" s="4">
        <f>DATEDIF(Data[[#This Row],[Issue Date]],Data[[#This Row],[Due Date]],"d")</f>
        <v>14</v>
      </c>
      <c r="N48" s="2" t="str">
        <f>IF(Data[[#This Row],[Due Date]]&lt;&gt;Data[[#This Row],[Return Date]],"Late Return","Return Book")</f>
        <v>Return Book</v>
      </c>
      <c r="O48" s="2" t="str">
        <f>TEXT(Data[[#This Row],[Issue Date]],"mmmm")</f>
        <v>April</v>
      </c>
    </row>
    <row r="49" spans="1:15" x14ac:dyDescent="0.25">
      <c r="A49">
        <v>5048</v>
      </c>
      <c r="B49">
        <v>105</v>
      </c>
      <c r="C49" s="1" t="s">
        <v>41</v>
      </c>
      <c r="D49" s="1" t="s">
        <v>42</v>
      </c>
      <c r="E49" s="1" t="s">
        <v>43</v>
      </c>
      <c r="F49">
        <v>2011</v>
      </c>
      <c r="G49" s="1" t="s">
        <v>87</v>
      </c>
      <c r="H49" s="1" t="s">
        <v>16</v>
      </c>
      <c r="I49" s="1" t="s">
        <v>49</v>
      </c>
      <c r="J49" s="2">
        <v>46132</v>
      </c>
      <c r="K49" s="2">
        <v>46139</v>
      </c>
      <c r="L49" s="2">
        <v>46139</v>
      </c>
      <c r="M49" s="4">
        <f>DATEDIF(Data[[#This Row],[Issue Date]],Data[[#This Row],[Due Date]],"d")</f>
        <v>7</v>
      </c>
      <c r="N49" s="2" t="str">
        <f>IF(Data[[#This Row],[Due Date]]&lt;&gt;Data[[#This Row],[Return Date]],"Late Return","Return Book")</f>
        <v>Return Book</v>
      </c>
      <c r="O49" s="2" t="str">
        <f>TEXT(Data[[#This Row],[Issue Date]],"mmmm")</f>
        <v>April</v>
      </c>
    </row>
    <row r="50" spans="1:15" x14ac:dyDescent="0.25">
      <c r="A50">
        <v>5049</v>
      </c>
      <c r="B50">
        <v>113</v>
      </c>
      <c r="C50" s="1" t="s">
        <v>77</v>
      </c>
      <c r="D50" s="1" t="s">
        <v>78</v>
      </c>
      <c r="E50" s="1" t="s">
        <v>43</v>
      </c>
      <c r="F50">
        <v>2014</v>
      </c>
      <c r="G50" s="1" t="s">
        <v>88</v>
      </c>
      <c r="H50" s="1" t="s">
        <v>16</v>
      </c>
      <c r="I50" s="1" t="s">
        <v>17</v>
      </c>
      <c r="J50" s="2">
        <v>46137</v>
      </c>
      <c r="K50" s="2">
        <v>46167</v>
      </c>
      <c r="L50" s="2">
        <v>46167</v>
      </c>
      <c r="M50" s="4">
        <f>DATEDIF(Data[[#This Row],[Issue Date]],Data[[#This Row],[Due Date]],"d")</f>
        <v>30</v>
      </c>
      <c r="N50" s="2" t="str">
        <f>IF(Data[[#This Row],[Due Date]]&lt;&gt;Data[[#This Row],[Return Date]],"Late Return","Return Book")</f>
        <v>Return Book</v>
      </c>
      <c r="O50" s="2" t="str">
        <f>TEXT(Data[[#This Row],[Issue Date]],"mmmm")</f>
        <v>April</v>
      </c>
    </row>
    <row r="51" spans="1:15" x14ac:dyDescent="0.25">
      <c r="A51">
        <v>5050</v>
      </c>
      <c r="B51">
        <v>120</v>
      </c>
      <c r="C51" s="1" t="s">
        <v>80</v>
      </c>
      <c r="D51" s="1" t="s">
        <v>81</v>
      </c>
      <c r="E51" s="1" t="s">
        <v>82</v>
      </c>
      <c r="F51">
        <v>2017</v>
      </c>
      <c r="G51" s="1" t="s">
        <v>40</v>
      </c>
      <c r="H51" s="1" t="s">
        <v>27</v>
      </c>
      <c r="I51" s="1" t="s">
        <v>20</v>
      </c>
      <c r="J51" s="2">
        <v>46121</v>
      </c>
      <c r="K51" s="2">
        <v>46128</v>
      </c>
      <c r="L51" s="2">
        <v>46128</v>
      </c>
      <c r="M51" s="4">
        <f>DATEDIF(Data[[#This Row],[Issue Date]],Data[[#This Row],[Due Date]],"d")</f>
        <v>7</v>
      </c>
      <c r="N51" s="2" t="str">
        <f>IF(Data[[#This Row],[Due Date]]&lt;&gt;Data[[#This Row],[Return Date]],"Late Return","Return Book")</f>
        <v>Return Book</v>
      </c>
      <c r="O51" s="2" t="str">
        <f>TEXT(Data[[#This Row],[Issue Date]],"mmmm")</f>
        <v>April</v>
      </c>
    </row>
    <row r="52" spans="1:15" x14ac:dyDescent="0.25">
      <c r="A52">
        <v>5051</v>
      </c>
      <c r="B52">
        <v>107</v>
      </c>
      <c r="C52" s="1" t="s">
        <v>54</v>
      </c>
      <c r="D52" s="1" t="s">
        <v>55</v>
      </c>
      <c r="E52" s="1" t="s">
        <v>39</v>
      </c>
      <c r="F52">
        <v>2001</v>
      </c>
      <c r="G52" s="1" t="s">
        <v>15</v>
      </c>
      <c r="H52" s="1" t="s">
        <v>16</v>
      </c>
      <c r="I52" s="1" t="s">
        <v>17</v>
      </c>
      <c r="J52" s="2">
        <v>46126</v>
      </c>
      <c r="K52" s="2">
        <v>46140</v>
      </c>
      <c r="L52" s="2">
        <v>46140</v>
      </c>
      <c r="M52" s="4">
        <f>DATEDIF(Data[[#This Row],[Issue Date]],Data[[#This Row],[Due Date]],"d")</f>
        <v>14</v>
      </c>
      <c r="N52" s="2" t="str">
        <f>IF(Data[[#This Row],[Due Date]]&lt;&gt;Data[[#This Row],[Return Date]],"Late Return","Return Book")</f>
        <v>Return Book</v>
      </c>
      <c r="O52" s="2" t="str">
        <f>TEXT(Data[[#This Row],[Issue Date]],"mmmm")</f>
        <v>April</v>
      </c>
    </row>
    <row r="53" spans="1:15" x14ac:dyDescent="0.25">
      <c r="A53">
        <v>5052</v>
      </c>
      <c r="B53">
        <v>115</v>
      </c>
      <c r="C53" s="1" t="s">
        <v>23</v>
      </c>
      <c r="D53" s="1" t="s">
        <v>24</v>
      </c>
      <c r="E53" s="1" t="s">
        <v>25</v>
      </c>
      <c r="F53">
        <v>2004</v>
      </c>
      <c r="G53" s="1" t="s">
        <v>21</v>
      </c>
      <c r="H53" s="1" t="s">
        <v>16</v>
      </c>
      <c r="I53" s="1" t="s">
        <v>22</v>
      </c>
      <c r="J53" s="2">
        <v>46131</v>
      </c>
      <c r="K53" s="2">
        <v>46145</v>
      </c>
      <c r="L53" s="2">
        <v>46144</v>
      </c>
      <c r="M53" s="4">
        <f>DATEDIF(Data[[#This Row],[Issue Date]],Data[[#This Row],[Due Date]],"d")</f>
        <v>14</v>
      </c>
      <c r="N53" s="2" t="str">
        <f>IF(Data[[#This Row],[Due Date]]&lt;&gt;Data[[#This Row],[Return Date]],"Late Return","Return Book")</f>
        <v>Late Return</v>
      </c>
      <c r="O53" s="2" t="str">
        <f>TEXT(Data[[#This Row],[Issue Date]],"mmmm")</f>
        <v>April</v>
      </c>
    </row>
    <row r="54" spans="1:15" x14ac:dyDescent="0.25">
      <c r="A54">
        <v>5053</v>
      </c>
      <c r="B54">
        <v>102</v>
      </c>
      <c r="C54" s="1" t="s">
        <v>84</v>
      </c>
      <c r="D54" s="1" t="s">
        <v>85</v>
      </c>
      <c r="E54" s="1" t="s">
        <v>86</v>
      </c>
      <c r="F54">
        <v>2007</v>
      </c>
      <c r="G54" s="1" t="s">
        <v>26</v>
      </c>
      <c r="H54" s="1" t="s">
        <v>27</v>
      </c>
      <c r="I54" s="1" t="s">
        <v>28</v>
      </c>
      <c r="J54" s="2">
        <v>46136</v>
      </c>
      <c r="K54" s="2">
        <v>46157</v>
      </c>
      <c r="L54" s="2">
        <v>46155</v>
      </c>
      <c r="M54" s="4">
        <f>DATEDIF(Data[[#This Row],[Issue Date]],Data[[#This Row],[Due Date]],"d")</f>
        <v>21</v>
      </c>
      <c r="N54" s="2" t="str">
        <f>IF(Data[[#This Row],[Due Date]]&lt;&gt;Data[[#This Row],[Return Date]],"Late Return","Return Book")</f>
        <v>Late Return</v>
      </c>
      <c r="O54" s="2" t="str">
        <f>TEXT(Data[[#This Row],[Issue Date]],"mmmm")</f>
        <v>April</v>
      </c>
    </row>
    <row r="55" spans="1:15" x14ac:dyDescent="0.25">
      <c r="A55">
        <v>5054</v>
      </c>
      <c r="B55">
        <v>109</v>
      </c>
      <c r="C55" s="1" t="s">
        <v>61</v>
      </c>
      <c r="D55" s="1" t="s">
        <v>62</v>
      </c>
      <c r="E55" s="1" t="s">
        <v>52</v>
      </c>
      <c r="F55">
        <v>2010</v>
      </c>
      <c r="G55" s="1" t="s">
        <v>31</v>
      </c>
      <c r="H55" s="1" t="s">
        <v>32</v>
      </c>
      <c r="I55" s="1" t="s">
        <v>33</v>
      </c>
      <c r="J55" s="2">
        <v>46141</v>
      </c>
      <c r="K55" s="2">
        <v>46155</v>
      </c>
      <c r="L55" s="2">
        <v>46152</v>
      </c>
      <c r="M55" s="4">
        <f>DATEDIF(Data[[#This Row],[Issue Date]],Data[[#This Row],[Due Date]],"d")</f>
        <v>14</v>
      </c>
      <c r="N55" s="2" t="str">
        <f>IF(Data[[#This Row],[Due Date]]&lt;&gt;Data[[#This Row],[Return Date]],"Late Return","Return Book")</f>
        <v>Late Return</v>
      </c>
      <c r="O55" s="2" t="str">
        <f>TEXT(Data[[#This Row],[Issue Date]],"mmmm")</f>
        <v>April</v>
      </c>
    </row>
    <row r="56" spans="1:15" x14ac:dyDescent="0.25">
      <c r="A56">
        <v>5055</v>
      </c>
      <c r="B56">
        <v>117</v>
      </c>
      <c r="C56" s="1" t="s">
        <v>37</v>
      </c>
      <c r="D56" s="1" t="s">
        <v>38</v>
      </c>
      <c r="E56" s="1" t="s">
        <v>39</v>
      </c>
      <c r="F56">
        <v>2013</v>
      </c>
      <c r="G56" s="1" t="s">
        <v>36</v>
      </c>
      <c r="H56" s="1" t="s">
        <v>16</v>
      </c>
      <c r="I56" s="1" t="s">
        <v>22</v>
      </c>
      <c r="J56" s="2">
        <v>46146</v>
      </c>
      <c r="K56" s="2">
        <v>46153</v>
      </c>
      <c r="L56" s="2">
        <v>46149</v>
      </c>
      <c r="M56" s="4">
        <f>DATEDIF(Data[[#This Row],[Issue Date]],Data[[#This Row],[Due Date]],"d")</f>
        <v>7</v>
      </c>
      <c r="N56" s="2" t="str">
        <f>IF(Data[[#This Row],[Due Date]]&lt;&gt;Data[[#This Row],[Return Date]],"Late Return","Return Book")</f>
        <v>Late Return</v>
      </c>
      <c r="O56" s="2" t="str">
        <f>TEXT(Data[[#This Row],[Issue Date]],"mmmm")</f>
        <v>May</v>
      </c>
    </row>
    <row r="57" spans="1:15" x14ac:dyDescent="0.25">
      <c r="A57">
        <v>5056</v>
      </c>
      <c r="B57">
        <v>104</v>
      </c>
      <c r="C57" s="1" t="s">
        <v>89</v>
      </c>
      <c r="D57" s="1" t="s">
        <v>90</v>
      </c>
      <c r="E57" s="1" t="s">
        <v>20</v>
      </c>
      <c r="F57">
        <v>2017</v>
      </c>
      <c r="G57" s="1" t="s">
        <v>40</v>
      </c>
      <c r="H57" s="1" t="s">
        <v>27</v>
      </c>
      <c r="I57" s="1" t="s">
        <v>20</v>
      </c>
      <c r="J57" s="2">
        <v>46151</v>
      </c>
      <c r="K57" s="2">
        <v>46181</v>
      </c>
      <c r="L57" s="2">
        <v>46181</v>
      </c>
      <c r="M57" s="4">
        <f>DATEDIF(Data[[#This Row],[Issue Date]],Data[[#This Row],[Due Date]],"d")</f>
        <v>30</v>
      </c>
      <c r="N57" s="2" t="str">
        <f>IF(Data[[#This Row],[Due Date]]&lt;&gt;Data[[#This Row],[Return Date]],"Late Return","Return Book")</f>
        <v>Return Book</v>
      </c>
      <c r="O57" s="2" t="str">
        <f>TEXT(Data[[#This Row],[Issue Date]],"mmmm")</f>
        <v>May</v>
      </c>
    </row>
    <row r="58" spans="1:15" x14ac:dyDescent="0.25">
      <c r="A58">
        <v>5057</v>
      </c>
      <c r="B58">
        <v>111</v>
      </c>
      <c r="C58" s="1" t="s">
        <v>69</v>
      </c>
      <c r="D58" s="1" t="s">
        <v>70</v>
      </c>
      <c r="E58" s="1" t="s">
        <v>47</v>
      </c>
      <c r="F58">
        <v>2020</v>
      </c>
      <c r="G58" s="1" t="s">
        <v>44</v>
      </c>
      <c r="H58" s="1" t="s">
        <v>16</v>
      </c>
      <c r="I58" s="1" t="s">
        <v>22</v>
      </c>
      <c r="J58" s="2">
        <v>46135</v>
      </c>
      <c r="K58" s="2">
        <v>46142</v>
      </c>
      <c r="L58" s="2">
        <v>46142</v>
      </c>
      <c r="M58" s="4">
        <f>DATEDIF(Data[[#This Row],[Issue Date]],Data[[#This Row],[Due Date]],"d")</f>
        <v>7</v>
      </c>
      <c r="N58" s="2" t="str">
        <f>IF(Data[[#This Row],[Due Date]]&lt;&gt;Data[[#This Row],[Return Date]],"Late Return","Return Book")</f>
        <v>Return Book</v>
      </c>
      <c r="O58" s="2" t="str">
        <f>TEXT(Data[[#This Row],[Issue Date]],"mmmm")</f>
        <v>April</v>
      </c>
    </row>
    <row r="59" spans="1:15" x14ac:dyDescent="0.25">
      <c r="A59">
        <v>5058</v>
      </c>
      <c r="B59">
        <v>119</v>
      </c>
      <c r="C59" s="1" t="s">
        <v>50</v>
      </c>
      <c r="D59" s="1" t="s">
        <v>51</v>
      </c>
      <c r="E59" s="1" t="s">
        <v>52</v>
      </c>
      <c r="F59">
        <v>2003</v>
      </c>
      <c r="G59" s="1" t="s">
        <v>48</v>
      </c>
      <c r="H59" s="1" t="s">
        <v>27</v>
      </c>
      <c r="I59" s="1" t="s">
        <v>49</v>
      </c>
      <c r="J59" s="2">
        <v>46140</v>
      </c>
      <c r="K59" s="2">
        <v>46154</v>
      </c>
      <c r="L59" s="2">
        <v>46154</v>
      </c>
      <c r="M59" s="4">
        <f>DATEDIF(Data[[#This Row],[Issue Date]],Data[[#This Row],[Due Date]],"d")</f>
        <v>14</v>
      </c>
      <c r="N59" s="2" t="str">
        <f>IF(Data[[#This Row],[Due Date]]&lt;&gt;Data[[#This Row],[Return Date]],"Late Return","Return Book")</f>
        <v>Return Book</v>
      </c>
      <c r="O59" s="2" t="str">
        <f>TEXT(Data[[#This Row],[Issue Date]],"mmmm")</f>
        <v>April</v>
      </c>
    </row>
    <row r="60" spans="1:15" x14ac:dyDescent="0.25">
      <c r="A60">
        <v>5059</v>
      </c>
      <c r="B60">
        <v>106</v>
      </c>
      <c r="C60" s="1" t="s">
        <v>91</v>
      </c>
      <c r="D60" s="1" t="s">
        <v>92</v>
      </c>
      <c r="E60" s="1" t="s">
        <v>39</v>
      </c>
      <c r="F60">
        <v>2006</v>
      </c>
      <c r="G60" s="1" t="s">
        <v>53</v>
      </c>
      <c r="H60" s="1" t="s">
        <v>16</v>
      </c>
      <c r="I60" s="1" t="s">
        <v>49</v>
      </c>
      <c r="J60" s="2">
        <v>46145</v>
      </c>
      <c r="K60" s="2">
        <v>46159</v>
      </c>
      <c r="L60" s="2">
        <v>46159</v>
      </c>
      <c r="M60" s="4">
        <f>DATEDIF(Data[[#This Row],[Issue Date]],Data[[#This Row],[Due Date]],"d")</f>
        <v>14</v>
      </c>
      <c r="N60" s="2" t="str">
        <f>IF(Data[[#This Row],[Due Date]]&lt;&gt;Data[[#This Row],[Return Date]],"Late Return","Return Book")</f>
        <v>Return Book</v>
      </c>
      <c r="O60" s="2" t="str">
        <f>TEXT(Data[[#This Row],[Issue Date]],"mmmm")</f>
        <v>May</v>
      </c>
    </row>
    <row r="61" spans="1:15" x14ac:dyDescent="0.25">
      <c r="A61">
        <v>5060</v>
      </c>
      <c r="B61">
        <v>113</v>
      </c>
      <c r="C61" s="1" t="s">
        <v>77</v>
      </c>
      <c r="D61" s="1" t="s">
        <v>78</v>
      </c>
      <c r="E61" s="1" t="s">
        <v>43</v>
      </c>
      <c r="F61">
        <v>2009</v>
      </c>
      <c r="G61" s="1" t="s">
        <v>56</v>
      </c>
      <c r="H61" s="1" t="s">
        <v>16</v>
      </c>
      <c r="I61" s="1" t="s">
        <v>57</v>
      </c>
      <c r="J61" s="2">
        <v>46150</v>
      </c>
      <c r="K61" s="2">
        <v>46171</v>
      </c>
      <c r="L61" s="2">
        <v>46171</v>
      </c>
      <c r="M61" s="4">
        <f>DATEDIF(Data[[#This Row],[Issue Date]],Data[[#This Row],[Due Date]],"d")</f>
        <v>21</v>
      </c>
      <c r="N61" s="2" t="str">
        <f>IF(Data[[#This Row],[Due Date]]&lt;&gt;Data[[#This Row],[Return Date]],"Late Return","Return Book")</f>
        <v>Return Book</v>
      </c>
      <c r="O61" s="2" t="str">
        <f>TEXT(Data[[#This Row],[Issue Date]],"mmmm")</f>
        <v>May</v>
      </c>
    </row>
    <row r="62" spans="1:15" x14ac:dyDescent="0.25">
      <c r="A62">
        <v>5061</v>
      </c>
      <c r="B62">
        <v>101</v>
      </c>
      <c r="C62" s="1" t="s">
        <v>12</v>
      </c>
      <c r="D62" s="1" t="s">
        <v>13</v>
      </c>
      <c r="E62" s="1" t="s">
        <v>14</v>
      </c>
      <c r="F62">
        <v>2013</v>
      </c>
      <c r="G62" s="1" t="s">
        <v>36</v>
      </c>
      <c r="H62" s="1" t="s">
        <v>16</v>
      </c>
      <c r="I62" s="1" t="s">
        <v>22</v>
      </c>
      <c r="J62" s="2">
        <v>46155</v>
      </c>
      <c r="K62" s="2">
        <v>46169</v>
      </c>
      <c r="L62" s="2">
        <v>46169</v>
      </c>
      <c r="M62" s="4">
        <f>DATEDIF(Data[[#This Row],[Issue Date]],Data[[#This Row],[Due Date]],"d")</f>
        <v>14</v>
      </c>
      <c r="N62" s="2" t="str">
        <f>IF(Data[[#This Row],[Due Date]]&lt;&gt;Data[[#This Row],[Return Date]],"Late Return","Return Book")</f>
        <v>Return Book</v>
      </c>
      <c r="O62" s="2" t="str">
        <f>TEXT(Data[[#This Row],[Issue Date]],"mmmm")</f>
        <v>May</v>
      </c>
    </row>
    <row r="63" spans="1:15" x14ac:dyDescent="0.25">
      <c r="A63">
        <v>5062</v>
      </c>
      <c r="B63">
        <v>108</v>
      </c>
      <c r="C63" s="1" t="s">
        <v>18</v>
      </c>
      <c r="D63" s="1" t="s">
        <v>19</v>
      </c>
      <c r="E63" s="1" t="s">
        <v>20</v>
      </c>
      <c r="F63">
        <v>2016</v>
      </c>
      <c r="G63" s="1" t="s">
        <v>60</v>
      </c>
      <c r="H63" s="1" t="s">
        <v>16</v>
      </c>
      <c r="I63" s="1" t="s">
        <v>57</v>
      </c>
      <c r="J63" s="2">
        <v>46160</v>
      </c>
      <c r="K63" s="2">
        <v>46167</v>
      </c>
      <c r="L63" s="2">
        <v>46166</v>
      </c>
      <c r="M63" s="4">
        <f>DATEDIF(Data[[#This Row],[Issue Date]],Data[[#This Row],[Due Date]],"d")</f>
        <v>7</v>
      </c>
      <c r="N63" s="2" t="str">
        <f>IF(Data[[#This Row],[Due Date]]&lt;&gt;Data[[#This Row],[Return Date]],"Late Return","Return Book")</f>
        <v>Late Return</v>
      </c>
      <c r="O63" s="2" t="str">
        <f>TEXT(Data[[#This Row],[Issue Date]],"mmmm")</f>
        <v>May</v>
      </c>
    </row>
    <row r="64" spans="1:15" x14ac:dyDescent="0.25">
      <c r="A64">
        <v>5063</v>
      </c>
      <c r="B64">
        <v>115</v>
      </c>
      <c r="C64" s="1" t="s">
        <v>23</v>
      </c>
      <c r="D64" s="1" t="s">
        <v>24</v>
      </c>
      <c r="E64" s="1" t="s">
        <v>25</v>
      </c>
      <c r="F64">
        <v>2019</v>
      </c>
      <c r="G64" s="1" t="s">
        <v>63</v>
      </c>
      <c r="H64" s="1" t="s">
        <v>16</v>
      </c>
      <c r="I64" s="1" t="s">
        <v>17</v>
      </c>
      <c r="J64" s="2">
        <v>46165</v>
      </c>
      <c r="K64" s="2">
        <v>46195</v>
      </c>
      <c r="L64" s="2">
        <v>46193</v>
      </c>
      <c r="M64" s="4">
        <f>DATEDIF(Data[[#This Row],[Issue Date]],Data[[#This Row],[Due Date]],"d")</f>
        <v>30</v>
      </c>
      <c r="N64" s="2" t="str">
        <f>IF(Data[[#This Row],[Due Date]]&lt;&gt;Data[[#This Row],[Return Date]],"Late Return","Return Book")</f>
        <v>Late Return</v>
      </c>
      <c r="O64" s="2" t="str">
        <f>TEXT(Data[[#This Row],[Issue Date]],"mmmm")</f>
        <v>May</v>
      </c>
    </row>
    <row r="65" spans="1:15" x14ac:dyDescent="0.25">
      <c r="A65">
        <v>5064</v>
      </c>
      <c r="B65">
        <v>103</v>
      </c>
      <c r="C65" s="1" t="s">
        <v>29</v>
      </c>
      <c r="D65" s="1" t="s">
        <v>30</v>
      </c>
      <c r="E65" s="1" t="s">
        <v>25</v>
      </c>
      <c r="F65">
        <v>2002</v>
      </c>
      <c r="G65" s="1" t="s">
        <v>66</v>
      </c>
      <c r="H65" s="1" t="s">
        <v>16</v>
      </c>
      <c r="I65" s="1" t="s">
        <v>57</v>
      </c>
      <c r="J65" s="2">
        <v>46149</v>
      </c>
      <c r="K65" s="2">
        <v>46156</v>
      </c>
      <c r="L65" s="2">
        <v>46153</v>
      </c>
      <c r="M65" s="4">
        <f>DATEDIF(Data[[#This Row],[Issue Date]],Data[[#This Row],[Due Date]],"d")</f>
        <v>7</v>
      </c>
      <c r="N65" s="2" t="str">
        <f>IF(Data[[#This Row],[Due Date]]&lt;&gt;Data[[#This Row],[Return Date]],"Late Return","Return Book")</f>
        <v>Late Return</v>
      </c>
      <c r="O65" s="2" t="str">
        <f>TEXT(Data[[#This Row],[Issue Date]],"mmmm")</f>
        <v>May</v>
      </c>
    </row>
    <row r="66" spans="1:15" x14ac:dyDescent="0.25">
      <c r="A66">
        <v>5065</v>
      </c>
      <c r="B66">
        <v>110</v>
      </c>
      <c r="C66" s="1" t="s">
        <v>34</v>
      </c>
      <c r="D66" s="1" t="s">
        <v>35</v>
      </c>
      <c r="E66" s="1" t="s">
        <v>25</v>
      </c>
      <c r="F66">
        <v>2005</v>
      </c>
      <c r="G66" s="1" t="s">
        <v>67</v>
      </c>
      <c r="H66" s="1" t="s">
        <v>32</v>
      </c>
      <c r="I66" s="1" t="s">
        <v>68</v>
      </c>
      <c r="J66" s="2">
        <v>46154</v>
      </c>
      <c r="K66" s="2">
        <v>46168</v>
      </c>
      <c r="L66" s="2">
        <v>46164</v>
      </c>
      <c r="M66" s="4">
        <f>DATEDIF(Data[[#This Row],[Issue Date]],Data[[#This Row],[Due Date]],"d")</f>
        <v>14</v>
      </c>
      <c r="N66" s="2" t="str">
        <f>IF(Data[[#This Row],[Due Date]]&lt;&gt;Data[[#This Row],[Return Date]],"Late Return","Return Book")</f>
        <v>Late Return</v>
      </c>
      <c r="O66" s="2" t="str">
        <f>TEXT(Data[[#This Row],[Issue Date]],"mmmm")</f>
        <v>May</v>
      </c>
    </row>
    <row r="67" spans="1:15" x14ac:dyDescent="0.25">
      <c r="A67">
        <v>5066</v>
      </c>
      <c r="B67">
        <v>117</v>
      </c>
      <c r="C67" s="1" t="s">
        <v>37</v>
      </c>
      <c r="D67" s="1" t="s">
        <v>38</v>
      </c>
      <c r="E67" s="1" t="s">
        <v>39</v>
      </c>
      <c r="F67">
        <v>2009</v>
      </c>
      <c r="G67" s="1" t="s">
        <v>56</v>
      </c>
      <c r="H67" s="1" t="s">
        <v>16</v>
      </c>
      <c r="I67" s="1" t="s">
        <v>57</v>
      </c>
      <c r="J67" s="2">
        <v>46159</v>
      </c>
      <c r="K67" s="2">
        <v>46173</v>
      </c>
      <c r="L67" s="2">
        <v>46173</v>
      </c>
      <c r="M67" s="4">
        <f>DATEDIF(Data[[#This Row],[Issue Date]],Data[[#This Row],[Due Date]],"d")</f>
        <v>14</v>
      </c>
      <c r="N67" s="2" t="str">
        <f>IF(Data[[#This Row],[Due Date]]&lt;&gt;Data[[#This Row],[Return Date]],"Late Return","Return Book")</f>
        <v>Return Book</v>
      </c>
      <c r="O67" s="2" t="str">
        <f>TEXT(Data[[#This Row],[Issue Date]],"mmmm")</f>
        <v>May</v>
      </c>
    </row>
    <row r="68" spans="1:15" x14ac:dyDescent="0.25">
      <c r="A68">
        <v>5067</v>
      </c>
      <c r="B68">
        <v>105</v>
      </c>
      <c r="C68" s="1" t="s">
        <v>41</v>
      </c>
      <c r="D68" s="1" t="s">
        <v>42</v>
      </c>
      <c r="E68" s="1" t="s">
        <v>43</v>
      </c>
      <c r="F68">
        <v>2012</v>
      </c>
      <c r="G68" s="1" t="s">
        <v>73</v>
      </c>
      <c r="H68" s="1" t="s">
        <v>27</v>
      </c>
      <c r="I68" s="1" t="s">
        <v>74</v>
      </c>
      <c r="J68" s="2">
        <v>46164</v>
      </c>
      <c r="K68" s="2">
        <v>46185</v>
      </c>
      <c r="L68" s="2">
        <v>46185</v>
      </c>
      <c r="M68" s="4">
        <f>DATEDIF(Data[[#This Row],[Issue Date]],Data[[#This Row],[Due Date]],"d")</f>
        <v>21</v>
      </c>
      <c r="N68" s="2" t="str">
        <f>IF(Data[[#This Row],[Due Date]]&lt;&gt;Data[[#This Row],[Return Date]],"Late Return","Return Book")</f>
        <v>Return Book</v>
      </c>
      <c r="O68" s="2" t="str">
        <f>TEXT(Data[[#This Row],[Issue Date]],"mmmm")</f>
        <v>May</v>
      </c>
    </row>
    <row r="69" spans="1:15" x14ac:dyDescent="0.25">
      <c r="A69">
        <v>5068</v>
      </c>
      <c r="B69">
        <v>112</v>
      </c>
      <c r="C69" s="1" t="s">
        <v>45</v>
      </c>
      <c r="D69" s="1" t="s">
        <v>46</v>
      </c>
      <c r="E69" s="1" t="s">
        <v>47</v>
      </c>
      <c r="F69">
        <v>2015</v>
      </c>
      <c r="G69" s="1" t="s">
        <v>75</v>
      </c>
      <c r="H69" s="1" t="s">
        <v>32</v>
      </c>
      <c r="I69" s="1" t="s">
        <v>76</v>
      </c>
      <c r="J69" s="2">
        <v>46169</v>
      </c>
      <c r="K69" s="2">
        <v>46183</v>
      </c>
      <c r="L69" s="2">
        <v>46183</v>
      </c>
      <c r="M69" s="4">
        <f>DATEDIF(Data[[#This Row],[Issue Date]],Data[[#This Row],[Due Date]],"d")</f>
        <v>14</v>
      </c>
      <c r="N69" s="2" t="str">
        <f>IF(Data[[#This Row],[Due Date]]&lt;&gt;Data[[#This Row],[Return Date]],"Late Return","Return Book")</f>
        <v>Return Book</v>
      </c>
      <c r="O69" s="2" t="str">
        <f>TEXT(Data[[#This Row],[Issue Date]],"mmmm")</f>
        <v>May</v>
      </c>
    </row>
    <row r="70" spans="1:15" x14ac:dyDescent="0.25">
      <c r="A70">
        <v>5069</v>
      </c>
      <c r="B70">
        <v>119</v>
      </c>
      <c r="C70" s="1" t="s">
        <v>50</v>
      </c>
      <c r="D70" s="1" t="s">
        <v>51</v>
      </c>
      <c r="E70" s="1" t="s">
        <v>52</v>
      </c>
      <c r="F70">
        <v>2018</v>
      </c>
      <c r="G70" s="1" t="s">
        <v>79</v>
      </c>
      <c r="H70" s="1" t="s">
        <v>16</v>
      </c>
      <c r="I70" s="1" t="s">
        <v>49</v>
      </c>
      <c r="J70" s="2">
        <v>46174</v>
      </c>
      <c r="K70" s="2">
        <v>46181</v>
      </c>
      <c r="L70" s="2">
        <v>46181</v>
      </c>
      <c r="M70" s="4">
        <f>DATEDIF(Data[[#This Row],[Issue Date]],Data[[#This Row],[Due Date]],"d")</f>
        <v>7</v>
      </c>
      <c r="N70" s="2" t="str">
        <f>IF(Data[[#This Row],[Due Date]]&lt;&gt;Data[[#This Row],[Return Date]],"Late Return","Return Book")</f>
        <v>Return Book</v>
      </c>
      <c r="O70" s="2" t="str">
        <f>TEXT(Data[[#This Row],[Issue Date]],"mmmm")</f>
        <v>June</v>
      </c>
    </row>
    <row r="71" spans="1:15" x14ac:dyDescent="0.25">
      <c r="A71">
        <v>5070</v>
      </c>
      <c r="B71">
        <v>107</v>
      </c>
      <c r="C71" s="1" t="s">
        <v>54</v>
      </c>
      <c r="D71" s="1" t="s">
        <v>55</v>
      </c>
      <c r="E71" s="1" t="s">
        <v>39</v>
      </c>
      <c r="F71">
        <v>2001</v>
      </c>
      <c r="G71" s="1" t="s">
        <v>15</v>
      </c>
      <c r="H71" s="1" t="s">
        <v>16</v>
      </c>
      <c r="I71" s="1" t="s">
        <v>17</v>
      </c>
      <c r="J71" s="2">
        <v>46179</v>
      </c>
      <c r="K71" s="2">
        <v>46209</v>
      </c>
      <c r="L71" s="2">
        <v>46209</v>
      </c>
      <c r="M71" s="4">
        <f>DATEDIF(Data[[#This Row],[Issue Date]],Data[[#This Row],[Due Date]],"d")</f>
        <v>30</v>
      </c>
      <c r="N71" s="2" t="str">
        <f>IF(Data[[#This Row],[Due Date]]&lt;&gt;Data[[#This Row],[Return Date]],"Late Return","Return Book")</f>
        <v>Return Book</v>
      </c>
      <c r="O71" s="2" t="str">
        <f>TEXT(Data[[#This Row],[Issue Date]],"mmmm")</f>
        <v>June</v>
      </c>
    </row>
    <row r="72" spans="1:15" x14ac:dyDescent="0.25">
      <c r="A72">
        <v>5071</v>
      </c>
      <c r="B72">
        <v>114</v>
      </c>
      <c r="C72" s="1" t="s">
        <v>58</v>
      </c>
      <c r="D72" s="1" t="s">
        <v>59</v>
      </c>
      <c r="E72" s="1" t="s">
        <v>52</v>
      </c>
      <c r="F72">
        <v>2005</v>
      </c>
      <c r="G72" s="1" t="s">
        <v>67</v>
      </c>
      <c r="H72" s="1" t="s">
        <v>32</v>
      </c>
      <c r="I72" s="1" t="s">
        <v>68</v>
      </c>
      <c r="J72" s="2">
        <v>46163</v>
      </c>
      <c r="K72" s="2">
        <v>46170</v>
      </c>
      <c r="L72" s="2">
        <v>46170</v>
      </c>
      <c r="M72" s="4">
        <f>DATEDIF(Data[[#This Row],[Issue Date]],Data[[#This Row],[Due Date]],"d")</f>
        <v>7</v>
      </c>
      <c r="N72" s="2" t="str">
        <f>IF(Data[[#This Row],[Due Date]]&lt;&gt;Data[[#This Row],[Return Date]],"Late Return","Return Book")</f>
        <v>Return Book</v>
      </c>
      <c r="O72" s="2" t="str">
        <f>TEXT(Data[[#This Row],[Issue Date]],"mmmm")</f>
        <v>May</v>
      </c>
    </row>
    <row r="73" spans="1:15" x14ac:dyDescent="0.25">
      <c r="A73">
        <v>5072</v>
      </c>
      <c r="B73">
        <v>101</v>
      </c>
      <c r="C73" s="1" t="s">
        <v>12</v>
      </c>
      <c r="D73" s="1" t="s">
        <v>13</v>
      </c>
      <c r="E73" s="1" t="s">
        <v>14</v>
      </c>
      <c r="F73">
        <v>2008</v>
      </c>
      <c r="G73" s="1" t="s">
        <v>83</v>
      </c>
      <c r="H73" s="1" t="s">
        <v>16</v>
      </c>
      <c r="I73" s="1" t="s">
        <v>17</v>
      </c>
      <c r="J73" s="2">
        <v>46168</v>
      </c>
      <c r="K73" s="2">
        <v>46182</v>
      </c>
      <c r="L73" s="2">
        <v>46181</v>
      </c>
      <c r="M73" s="4">
        <f>DATEDIF(Data[[#This Row],[Issue Date]],Data[[#This Row],[Due Date]],"d")</f>
        <v>14</v>
      </c>
      <c r="N73" s="2" t="str">
        <f>IF(Data[[#This Row],[Due Date]]&lt;&gt;Data[[#This Row],[Return Date]],"Late Return","Return Book")</f>
        <v>Late Return</v>
      </c>
      <c r="O73" s="2" t="str">
        <f>TEXT(Data[[#This Row],[Issue Date]],"mmmm")</f>
        <v>May</v>
      </c>
    </row>
    <row r="74" spans="1:15" x14ac:dyDescent="0.25">
      <c r="A74">
        <v>5073</v>
      </c>
      <c r="B74">
        <v>109</v>
      </c>
      <c r="C74" s="1" t="s">
        <v>61</v>
      </c>
      <c r="D74" s="1" t="s">
        <v>62</v>
      </c>
      <c r="E74" s="1" t="s">
        <v>52</v>
      </c>
      <c r="F74">
        <v>2011</v>
      </c>
      <c r="G74" s="1" t="s">
        <v>87</v>
      </c>
      <c r="H74" s="1" t="s">
        <v>16</v>
      </c>
      <c r="I74" s="1" t="s">
        <v>49</v>
      </c>
      <c r="J74" s="2">
        <v>46173</v>
      </c>
      <c r="K74" s="2">
        <v>46187</v>
      </c>
      <c r="L74" s="2">
        <v>46185</v>
      </c>
      <c r="M74" s="4">
        <f>DATEDIF(Data[[#This Row],[Issue Date]],Data[[#This Row],[Due Date]],"d")</f>
        <v>14</v>
      </c>
      <c r="N74" s="2" t="str">
        <f>IF(Data[[#This Row],[Due Date]]&lt;&gt;Data[[#This Row],[Return Date]],"Late Return","Return Book")</f>
        <v>Late Return</v>
      </c>
      <c r="O74" s="2" t="str">
        <f>TEXT(Data[[#This Row],[Issue Date]],"mmmm")</f>
        <v>May</v>
      </c>
    </row>
    <row r="75" spans="1:15" x14ac:dyDescent="0.25">
      <c r="A75">
        <v>5074</v>
      </c>
      <c r="B75">
        <v>116</v>
      </c>
      <c r="C75" s="1" t="s">
        <v>64</v>
      </c>
      <c r="D75" s="1" t="s">
        <v>65</v>
      </c>
      <c r="E75" s="1" t="s">
        <v>20</v>
      </c>
      <c r="F75">
        <v>2014</v>
      </c>
      <c r="G75" s="1" t="s">
        <v>88</v>
      </c>
      <c r="H75" s="1" t="s">
        <v>16</v>
      </c>
      <c r="I75" s="1" t="s">
        <v>17</v>
      </c>
      <c r="J75" s="2">
        <v>46178</v>
      </c>
      <c r="K75" s="2">
        <v>46199</v>
      </c>
      <c r="L75" s="2">
        <v>46196</v>
      </c>
      <c r="M75" s="4">
        <f>DATEDIF(Data[[#This Row],[Issue Date]],Data[[#This Row],[Due Date]],"d")</f>
        <v>21</v>
      </c>
      <c r="N75" s="2" t="str">
        <f>IF(Data[[#This Row],[Due Date]]&lt;&gt;Data[[#This Row],[Return Date]],"Late Return","Return Book")</f>
        <v>Late Return</v>
      </c>
      <c r="O75" s="2" t="str">
        <f>TEXT(Data[[#This Row],[Issue Date]],"mmmm")</f>
        <v>June</v>
      </c>
    </row>
    <row r="76" spans="1:15" x14ac:dyDescent="0.25">
      <c r="A76">
        <v>5075</v>
      </c>
      <c r="B76">
        <v>103</v>
      </c>
      <c r="C76" s="1" t="s">
        <v>29</v>
      </c>
      <c r="D76" s="1" t="s">
        <v>30</v>
      </c>
      <c r="E76" s="1" t="s">
        <v>25</v>
      </c>
      <c r="F76">
        <v>2017</v>
      </c>
      <c r="G76" s="1" t="s">
        <v>40</v>
      </c>
      <c r="H76" s="1" t="s">
        <v>27</v>
      </c>
      <c r="I76" s="1" t="s">
        <v>20</v>
      </c>
      <c r="J76" s="2">
        <v>46183</v>
      </c>
      <c r="K76" s="2">
        <v>46197</v>
      </c>
      <c r="L76" s="2">
        <v>46193</v>
      </c>
      <c r="M76" s="4">
        <f>DATEDIF(Data[[#This Row],[Issue Date]],Data[[#This Row],[Due Date]],"d")</f>
        <v>14</v>
      </c>
      <c r="N76" s="2" t="str">
        <f>IF(Data[[#This Row],[Due Date]]&lt;&gt;Data[[#This Row],[Return Date]],"Late Return","Return Book")</f>
        <v>Late Return</v>
      </c>
      <c r="O76" s="2" t="str">
        <f>TEXT(Data[[#This Row],[Issue Date]],"mmmm")</f>
        <v>June</v>
      </c>
    </row>
    <row r="77" spans="1:15" x14ac:dyDescent="0.25">
      <c r="A77">
        <v>5076</v>
      </c>
      <c r="B77">
        <v>111</v>
      </c>
      <c r="C77" s="1" t="s">
        <v>69</v>
      </c>
      <c r="D77" s="1" t="s">
        <v>70</v>
      </c>
      <c r="E77" s="1" t="s">
        <v>47</v>
      </c>
      <c r="F77">
        <v>2001</v>
      </c>
      <c r="G77" s="1" t="s">
        <v>15</v>
      </c>
      <c r="H77" s="1" t="s">
        <v>16</v>
      </c>
      <c r="I77" s="1" t="s">
        <v>17</v>
      </c>
      <c r="J77" s="2">
        <v>46188</v>
      </c>
      <c r="K77" s="2">
        <v>46195</v>
      </c>
      <c r="L77" s="2">
        <v>46195</v>
      </c>
      <c r="M77" s="4">
        <f>DATEDIF(Data[[#This Row],[Issue Date]],Data[[#This Row],[Due Date]],"d")</f>
        <v>7</v>
      </c>
      <c r="N77" s="2" t="str">
        <f>IF(Data[[#This Row],[Due Date]]&lt;&gt;Data[[#This Row],[Return Date]],"Late Return","Return Book")</f>
        <v>Return Book</v>
      </c>
      <c r="O77" s="2" t="str">
        <f>TEXT(Data[[#This Row],[Issue Date]],"mmmm")</f>
        <v>June</v>
      </c>
    </row>
    <row r="78" spans="1:15" x14ac:dyDescent="0.25">
      <c r="A78">
        <v>5077</v>
      </c>
      <c r="B78">
        <v>118</v>
      </c>
      <c r="C78" s="1" t="s">
        <v>71</v>
      </c>
      <c r="D78" s="1" t="s">
        <v>72</v>
      </c>
      <c r="E78" s="1" t="s">
        <v>47</v>
      </c>
      <c r="F78">
        <v>2004</v>
      </c>
      <c r="G78" s="1" t="s">
        <v>21</v>
      </c>
      <c r="H78" s="1" t="s">
        <v>16</v>
      </c>
      <c r="I78" s="1" t="s">
        <v>22</v>
      </c>
      <c r="J78" s="2">
        <v>46193</v>
      </c>
      <c r="K78" s="2">
        <v>46223</v>
      </c>
      <c r="L78" s="2">
        <v>46223</v>
      </c>
      <c r="M78" s="4">
        <f>DATEDIF(Data[[#This Row],[Issue Date]],Data[[#This Row],[Due Date]],"d")</f>
        <v>30</v>
      </c>
      <c r="N78" s="2" t="str">
        <f>IF(Data[[#This Row],[Due Date]]&lt;&gt;Data[[#This Row],[Return Date]],"Late Return","Return Book")</f>
        <v>Return Book</v>
      </c>
      <c r="O78" s="2" t="str">
        <f>TEXT(Data[[#This Row],[Issue Date]],"mmmm")</f>
        <v>June</v>
      </c>
    </row>
    <row r="79" spans="1:15" x14ac:dyDescent="0.25">
      <c r="A79">
        <v>5078</v>
      </c>
      <c r="B79">
        <v>105</v>
      </c>
      <c r="C79" s="1" t="s">
        <v>41</v>
      </c>
      <c r="D79" s="1" t="s">
        <v>42</v>
      </c>
      <c r="E79" s="1" t="s">
        <v>43</v>
      </c>
      <c r="F79">
        <v>2007</v>
      </c>
      <c r="G79" s="1" t="s">
        <v>26</v>
      </c>
      <c r="H79" s="1" t="s">
        <v>27</v>
      </c>
      <c r="I79" s="1" t="s">
        <v>28</v>
      </c>
      <c r="J79" s="2">
        <v>46177</v>
      </c>
      <c r="K79" s="2">
        <v>46184</v>
      </c>
      <c r="L79" s="2">
        <v>46184</v>
      </c>
      <c r="M79" s="4">
        <f>DATEDIF(Data[[#This Row],[Issue Date]],Data[[#This Row],[Due Date]],"d")</f>
        <v>7</v>
      </c>
      <c r="N79" s="2" t="str">
        <f>IF(Data[[#This Row],[Due Date]]&lt;&gt;Data[[#This Row],[Return Date]],"Late Return","Return Book")</f>
        <v>Return Book</v>
      </c>
      <c r="O79" s="2" t="str">
        <f>TEXT(Data[[#This Row],[Issue Date]],"mmmm")</f>
        <v>June</v>
      </c>
    </row>
    <row r="80" spans="1:15" x14ac:dyDescent="0.25">
      <c r="A80">
        <v>5079</v>
      </c>
      <c r="B80">
        <v>113</v>
      </c>
      <c r="C80" s="1" t="s">
        <v>77</v>
      </c>
      <c r="D80" s="1" t="s">
        <v>78</v>
      </c>
      <c r="E80" s="1" t="s">
        <v>43</v>
      </c>
      <c r="F80">
        <v>2010</v>
      </c>
      <c r="G80" s="1" t="s">
        <v>31</v>
      </c>
      <c r="H80" s="1" t="s">
        <v>32</v>
      </c>
      <c r="I80" s="1" t="s">
        <v>33</v>
      </c>
      <c r="J80" s="2">
        <v>46182</v>
      </c>
      <c r="K80" s="2">
        <v>46196</v>
      </c>
      <c r="L80" s="2">
        <v>46196</v>
      </c>
      <c r="M80" s="4">
        <f>DATEDIF(Data[[#This Row],[Issue Date]],Data[[#This Row],[Due Date]],"d")</f>
        <v>14</v>
      </c>
      <c r="N80" s="2" t="str">
        <f>IF(Data[[#This Row],[Due Date]]&lt;&gt;Data[[#This Row],[Return Date]],"Late Return","Return Book")</f>
        <v>Return Book</v>
      </c>
      <c r="O80" s="2" t="str">
        <f>TEXT(Data[[#This Row],[Issue Date]],"mmmm")</f>
        <v>June</v>
      </c>
    </row>
    <row r="81" spans="1:15" x14ac:dyDescent="0.25">
      <c r="A81">
        <v>5080</v>
      </c>
      <c r="B81">
        <v>120</v>
      </c>
      <c r="C81" s="1" t="s">
        <v>80</v>
      </c>
      <c r="D81" s="1" t="s">
        <v>81</v>
      </c>
      <c r="E81" s="1" t="s">
        <v>82</v>
      </c>
      <c r="F81">
        <v>2013</v>
      </c>
      <c r="G81" s="1" t="s">
        <v>36</v>
      </c>
      <c r="H81" s="1" t="s">
        <v>16</v>
      </c>
      <c r="I81" s="1" t="s">
        <v>22</v>
      </c>
      <c r="J81" s="2">
        <v>46187</v>
      </c>
      <c r="K81" s="2">
        <v>46201</v>
      </c>
      <c r="L81" s="2">
        <v>46201</v>
      </c>
      <c r="M81" s="4">
        <f>DATEDIF(Data[[#This Row],[Issue Date]],Data[[#This Row],[Due Date]],"d")</f>
        <v>14</v>
      </c>
      <c r="N81" s="2" t="str">
        <f>IF(Data[[#This Row],[Due Date]]&lt;&gt;Data[[#This Row],[Return Date]],"Late Return","Return Book")</f>
        <v>Return Book</v>
      </c>
      <c r="O81" s="2" t="str">
        <f>TEXT(Data[[#This Row],[Issue Date]],"mmmm")</f>
        <v>June</v>
      </c>
    </row>
    <row r="82" spans="1:15" x14ac:dyDescent="0.25">
      <c r="A82">
        <v>5081</v>
      </c>
      <c r="B82">
        <v>107</v>
      </c>
      <c r="C82" s="1" t="s">
        <v>54</v>
      </c>
      <c r="D82" s="1" t="s">
        <v>55</v>
      </c>
      <c r="E82" s="1" t="s">
        <v>39</v>
      </c>
      <c r="F82">
        <v>2017</v>
      </c>
      <c r="G82" s="1" t="s">
        <v>40</v>
      </c>
      <c r="H82" s="1" t="s">
        <v>27</v>
      </c>
      <c r="I82" s="1" t="s">
        <v>20</v>
      </c>
      <c r="J82" s="2">
        <v>46192</v>
      </c>
      <c r="K82" s="2">
        <v>46213</v>
      </c>
      <c r="L82" s="2">
        <v>46213</v>
      </c>
      <c r="M82" s="4">
        <f>DATEDIF(Data[[#This Row],[Issue Date]],Data[[#This Row],[Due Date]],"d")</f>
        <v>21</v>
      </c>
      <c r="N82" s="2" t="str">
        <f>IF(Data[[#This Row],[Due Date]]&lt;&gt;Data[[#This Row],[Return Date]],"Late Return","Return Book")</f>
        <v>Return Book</v>
      </c>
      <c r="O82" s="2" t="str">
        <f>TEXT(Data[[#This Row],[Issue Date]],"mmmm")</f>
        <v>June</v>
      </c>
    </row>
    <row r="83" spans="1:15" x14ac:dyDescent="0.25">
      <c r="A83">
        <v>5082</v>
      </c>
      <c r="B83">
        <v>115</v>
      </c>
      <c r="C83" s="1" t="s">
        <v>23</v>
      </c>
      <c r="D83" s="1" t="s">
        <v>24</v>
      </c>
      <c r="E83" s="1" t="s">
        <v>25</v>
      </c>
      <c r="F83">
        <v>2020</v>
      </c>
      <c r="G83" s="1" t="s">
        <v>44</v>
      </c>
      <c r="H83" s="1" t="s">
        <v>16</v>
      </c>
      <c r="I83" s="1" t="s">
        <v>22</v>
      </c>
      <c r="J83" s="2">
        <v>46197</v>
      </c>
      <c r="K83" s="2">
        <v>46211</v>
      </c>
      <c r="L83" s="2">
        <v>46210</v>
      </c>
      <c r="M83" s="4">
        <f>DATEDIF(Data[[#This Row],[Issue Date]],Data[[#This Row],[Due Date]],"d")</f>
        <v>14</v>
      </c>
      <c r="N83" s="2" t="str">
        <f>IF(Data[[#This Row],[Due Date]]&lt;&gt;Data[[#This Row],[Return Date]],"Late Return","Return Book")</f>
        <v>Late Return</v>
      </c>
      <c r="O83" s="2" t="str">
        <f>TEXT(Data[[#This Row],[Issue Date]],"mmmm")</f>
        <v>June</v>
      </c>
    </row>
    <row r="84" spans="1:15" x14ac:dyDescent="0.25">
      <c r="A84">
        <v>5083</v>
      </c>
      <c r="B84">
        <v>102</v>
      </c>
      <c r="C84" s="1" t="s">
        <v>84</v>
      </c>
      <c r="D84" s="1" t="s">
        <v>85</v>
      </c>
      <c r="E84" s="1" t="s">
        <v>86</v>
      </c>
      <c r="F84">
        <v>2003</v>
      </c>
      <c r="G84" s="1" t="s">
        <v>48</v>
      </c>
      <c r="H84" s="1" t="s">
        <v>27</v>
      </c>
      <c r="I84" s="1" t="s">
        <v>49</v>
      </c>
      <c r="J84" s="2">
        <v>46202</v>
      </c>
      <c r="K84" s="2">
        <v>46209</v>
      </c>
      <c r="L84" s="2">
        <v>46207</v>
      </c>
      <c r="M84" s="4">
        <f>DATEDIF(Data[[#This Row],[Issue Date]],Data[[#This Row],[Due Date]],"d")</f>
        <v>7</v>
      </c>
      <c r="N84" s="2" t="str">
        <f>IF(Data[[#This Row],[Due Date]]&lt;&gt;Data[[#This Row],[Return Date]],"Late Return","Return Book")</f>
        <v>Late Return</v>
      </c>
      <c r="O84" s="2" t="str">
        <f>TEXT(Data[[#This Row],[Issue Date]],"mmmm")</f>
        <v>June</v>
      </c>
    </row>
    <row r="85" spans="1:15" x14ac:dyDescent="0.25">
      <c r="A85">
        <v>5084</v>
      </c>
      <c r="B85">
        <v>109</v>
      </c>
      <c r="C85" s="1" t="s">
        <v>61</v>
      </c>
      <c r="D85" s="1" t="s">
        <v>62</v>
      </c>
      <c r="E85" s="1" t="s">
        <v>52</v>
      </c>
      <c r="F85">
        <v>2006</v>
      </c>
      <c r="G85" s="1" t="s">
        <v>53</v>
      </c>
      <c r="H85" s="1" t="s">
        <v>16</v>
      </c>
      <c r="I85" s="1" t="s">
        <v>49</v>
      </c>
      <c r="J85" s="2">
        <v>46207</v>
      </c>
      <c r="K85" s="2">
        <v>46237</v>
      </c>
      <c r="L85" s="2">
        <v>46234</v>
      </c>
      <c r="M85" s="4">
        <f>DATEDIF(Data[[#This Row],[Issue Date]],Data[[#This Row],[Due Date]],"d")</f>
        <v>30</v>
      </c>
      <c r="N85" s="2" t="str">
        <f>IF(Data[[#This Row],[Due Date]]&lt;&gt;Data[[#This Row],[Return Date]],"Late Return","Return Book")</f>
        <v>Late Return</v>
      </c>
      <c r="O85" s="2" t="str">
        <f>TEXT(Data[[#This Row],[Issue Date]],"mmmm")</f>
        <v>July</v>
      </c>
    </row>
    <row r="86" spans="1:15" x14ac:dyDescent="0.25">
      <c r="A86">
        <v>5085</v>
      </c>
      <c r="B86">
        <v>117</v>
      </c>
      <c r="C86" s="1" t="s">
        <v>37</v>
      </c>
      <c r="D86" s="1" t="s">
        <v>38</v>
      </c>
      <c r="E86" s="1" t="s">
        <v>39</v>
      </c>
      <c r="F86">
        <v>2009</v>
      </c>
      <c r="G86" s="1" t="s">
        <v>56</v>
      </c>
      <c r="H86" s="1" t="s">
        <v>16</v>
      </c>
      <c r="I86" s="1" t="s">
        <v>57</v>
      </c>
      <c r="J86" s="2">
        <v>46191</v>
      </c>
      <c r="K86" s="2">
        <v>46198</v>
      </c>
      <c r="L86" s="2">
        <v>46194</v>
      </c>
      <c r="M86" s="4">
        <f>DATEDIF(Data[[#This Row],[Issue Date]],Data[[#This Row],[Due Date]],"d")</f>
        <v>7</v>
      </c>
      <c r="N86" s="2" t="str">
        <f>IF(Data[[#This Row],[Due Date]]&lt;&gt;Data[[#This Row],[Return Date]],"Late Return","Return Book")</f>
        <v>Late Return</v>
      </c>
      <c r="O86" s="2" t="str">
        <f>TEXT(Data[[#This Row],[Issue Date]],"mmmm")</f>
        <v>June</v>
      </c>
    </row>
    <row r="87" spans="1:15" x14ac:dyDescent="0.25">
      <c r="A87">
        <v>5086</v>
      </c>
      <c r="B87">
        <v>104</v>
      </c>
      <c r="C87" s="1" t="s">
        <v>89</v>
      </c>
      <c r="D87" s="1" t="s">
        <v>90</v>
      </c>
      <c r="E87" s="1" t="s">
        <v>20</v>
      </c>
      <c r="F87">
        <v>2013</v>
      </c>
      <c r="G87" s="1" t="s">
        <v>36</v>
      </c>
      <c r="H87" s="1" t="s">
        <v>16</v>
      </c>
      <c r="I87" s="1" t="s">
        <v>22</v>
      </c>
      <c r="J87" s="2">
        <v>46196</v>
      </c>
      <c r="K87" s="2">
        <v>46210</v>
      </c>
      <c r="L87" s="2">
        <v>46210</v>
      </c>
      <c r="M87" s="4">
        <f>DATEDIF(Data[[#This Row],[Issue Date]],Data[[#This Row],[Due Date]],"d")</f>
        <v>14</v>
      </c>
      <c r="N87" s="2" t="str">
        <f>IF(Data[[#This Row],[Due Date]]&lt;&gt;Data[[#This Row],[Return Date]],"Late Return","Return Book")</f>
        <v>Return Book</v>
      </c>
      <c r="O87" s="2" t="str">
        <f>TEXT(Data[[#This Row],[Issue Date]],"mmmm")</f>
        <v>June</v>
      </c>
    </row>
    <row r="88" spans="1:15" x14ac:dyDescent="0.25">
      <c r="A88">
        <v>5087</v>
      </c>
      <c r="B88">
        <v>111</v>
      </c>
      <c r="C88" s="1" t="s">
        <v>69</v>
      </c>
      <c r="D88" s="1" t="s">
        <v>70</v>
      </c>
      <c r="E88" s="1" t="s">
        <v>47</v>
      </c>
      <c r="F88">
        <v>2016</v>
      </c>
      <c r="G88" s="1" t="s">
        <v>60</v>
      </c>
      <c r="H88" s="1" t="s">
        <v>16</v>
      </c>
      <c r="I88" s="1" t="s">
        <v>57</v>
      </c>
      <c r="J88" s="2">
        <v>46201</v>
      </c>
      <c r="K88" s="2">
        <v>46215</v>
      </c>
      <c r="L88" s="2">
        <v>46215</v>
      </c>
      <c r="M88" s="4">
        <f>DATEDIF(Data[[#This Row],[Issue Date]],Data[[#This Row],[Due Date]],"d")</f>
        <v>14</v>
      </c>
      <c r="N88" s="2" t="str">
        <f>IF(Data[[#This Row],[Due Date]]&lt;&gt;Data[[#This Row],[Return Date]],"Late Return","Return Book")</f>
        <v>Return Book</v>
      </c>
      <c r="O88" s="2" t="str">
        <f>TEXT(Data[[#This Row],[Issue Date]],"mmmm")</f>
        <v>June</v>
      </c>
    </row>
    <row r="89" spans="1:15" x14ac:dyDescent="0.25">
      <c r="A89">
        <v>5088</v>
      </c>
      <c r="B89">
        <v>119</v>
      </c>
      <c r="C89" s="1" t="s">
        <v>50</v>
      </c>
      <c r="D89" s="1" t="s">
        <v>51</v>
      </c>
      <c r="E89" s="1" t="s">
        <v>52</v>
      </c>
      <c r="F89">
        <v>2019</v>
      </c>
      <c r="G89" s="1" t="s">
        <v>63</v>
      </c>
      <c r="H89" s="1" t="s">
        <v>16</v>
      </c>
      <c r="I89" s="1" t="s">
        <v>17</v>
      </c>
      <c r="J89" s="2">
        <v>46206</v>
      </c>
      <c r="K89" s="2">
        <v>46227</v>
      </c>
      <c r="L89" s="2">
        <v>46227</v>
      </c>
      <c r="M89" s="4">
        <f>DATEDIF(Data[[#This Row],[Issue Date]],Data[[#This Row],[Due Date]],"d")</f>
        <v>21</v>
      </c>
      <c r="N89" s="2" t="str">
        <f>IF(Data[[#This Row],[Due Date]]&lt;&gt;Data[[#This Row],[Return Date]],"Late Return","Return Book")</f>
        <v>Return Book</v>
      </c>
      <c r="O89" s="2" t="str">
        <f>TEXT(Data[[#This Row],[Issue Date]],"mmmm")</f>
        <v>July</v>
      </c>
    </row>
    <row r="90" spans="1:15" x14ac:dyDescent="0.25">
      <c r="A90">
        <v>5089</v>
      </c>
      <c r="B90">
        <v>106</v>
      </c>
      <c r="C90" s="1" t="s">
        <v>91</v>
      </c>
      <c r="D90" s="1" t="s">
        <v>92</v>
      </c>
      <c r="E90" s="1" t="s">
        <v>39</v>
      </c>
      <c r="F90">
        <v>2002</v>
      </c>
      <c r="G90" s="1" t="s">
        <v>66</v>
      </c>
      <c r="H90" s="1" t="s">
        <v>16</v>
      </c>
      <c r="I90" s="1" t="s">
        <v>57</v>
      </c>
      <c r="J90" s="2">
        <v>46211</v>
      </c>
      <c r="K90" s="2">
        <v>46225</v>
      </c>
      <c r="L90" s="2">
        <v>46225</v>
      </c>
      <c r="M90" s="4">
        <f>DATEDIF(Data[[#This Row],[Issue Date]],Data[[#This Row],[Due Date]],"d")</f>
        <v>14</v>
      </c>
      <c r="N90" s="2" t="str">
        <f>IF(Data[[#This Row],[Due Date]]&lt;&gt;Data[[#This Row],[Return Date]],"Late Return","Return Book")</f>
        <v>Return Book</v>
      </c>
      <c r="O90" s="2" t="str">
        <f>TEXT(Data[[#This Row],[Issue Date]],"mmmm")</f>
        <v>July</v>
      </c>
    </row>
    <row r="91" spans="1:15" x14ac:dyDescent="0.25">
      <c r="A91">
        <v>5090</v>
      </c>
      <c r="B91">
        <v>113</v>
      </c>
      <c r="C91" s="1" t="s">
        <v>77</v>
      </c>
      <c r="D91" s="1" t="s">
        <v>78</v>
      </c>
      <c r="E91" s="1" t="s">
        <v>43</v>
      </c>
      <c r="F91">
        <v>2005</v>
      </c>
      <c r="G91" s="1" t="s">
        <v>67</v>
      </c>
      <c r="H91" s="1" t="s">
        <v>32</v>
      </c>
      <c r="I91" s="1" t="s">
        <v>68</v>
      </c>
      <c r="J91" s="2">
        <v>46216</v>
      </c>
      <c r="K91" s="2">
        <v>46223</v>
      </c>
      <c r="L91" s="2">
        <v>46223</v>
      </c>
      <c r="M91" s="4">
        <f>DATEDIF(Data[[#This Row],[Issue Date]],Data[[#This Row],[Due Date]],"d")</f>
        <v>7</v>
      </c>
      <c r="N91" s="2" t="str">
        <f>IF(Data[[#This Row],[Due Date]]&lt;&gt;Data[[#This Row],[Return Date]],"Late Return","Return Book")</f>
        <v>Return Book</v>
      </c>
      <c r="O91" s="2" t="str">
        <f>TEXT(Data[[#This Row],[Issue Date]],"mmmm")</f>
        <v>July</v>
      </c>
    </row>
    <row r="92" spans="1:15" x14ac:dyDescent="0.25">
      <c r="A92">
        <v>5091</v>
      </c>
      <c r="B92">
        <v>101</v>
      </c>
      <c r="C92" s="1" t="s">
        <v>12</v>
      </c>
      <c r="D92" s="1" t="s">
        <v>13</v>
      </c>
      <c r="E92" s="1" t="s">
        <v>14</v>
      </c>
      <c r="F92">
        <v>2009</v>
      </c>
      <c r="G92" s="1" t="s">
        <v>56</v>
      </c>
      <c r="H92" s="1" t="s">
        <v>16</v>
      </c>
      <c r="I92" s="1" t="s">
        <v>57</v>
      </c>
      <c r="J92" s="2">
        <v>46221</v>
      </c>
      <c r="K92" s="2">
        <v>46251</v>
      </c>
      <c r="L92" s="2">
        <v>46251</v>
      </c>
      <c r="M92" s="4">
        <f>DATEDIF(Data[[#This Row],[Issue Date]],Data[[#This Row],[Due Date]],"d")</f>
        <v>30</v>
      </c>
      <c r="N92" s="2" t="str">
        <f>IF(Data[[#This Row],[Due Date]]&lt;&gt;Data[[#This Row],[Return Date]],"Late Return","Return Book")</f>
        <v>Return Book</v>
      </c>
      <c r="O92" s="2" t="str">
        <f>TEXT(Data[[#This Row],[Issue Date]],"mmmm")</f>
        <v>July</v>
      </c>
    </row>
    <row r="93" spans="1:15" x14ac:dyDescent="0.25">
      <c r="A93">
        <v>5092</v>
      </c>
      <c r="B93">
        <v>108</v>
      </c>
      <c r="C93" s="1" t="s">
        <v>18</v>
      </c>
      <c r="D93" s="1" t="s">
        <v>19</v>
      </c>
      <c r="E93" s="1" t="s">
        <v>20</v>
      </c>
      <c r="F93">
        <v>2012</v>
      </c>
      <c r="G93" s="1" t="s">
        <v>73</v>
      </c>
      <c r="H93" s="1" t="s">
        <v>27</v>
      </c>
      <c r="I93" s="1" t="s">
        <v>74</v>
      </c>
      <c r="J93" s="2">
        <v>46205</v>
      </c>
      <c r="K93" s="2">
        <v>46212</v>
      </c>
      <c r="L93" s="2">
        <v>46211</v>
      </c>
      <c r="M93" s="4">
        <f>DATEDIF(Data[[#This Row],[Issue Date]],Data[[#This Row],[Due Date]],"d")</f>
        <v>7</v>
      </c>
      <c r="N93" s="2" t="str">
        <f>IF(Data[[#This Row],[Due Date]]&lt;&gt;Data[[#This Row],[Return Date]],"Late Return","Return Book")</f>
        <v>Late Return</v>
      </c>
      <c r="O93" s="2" t="str">
        <f>TEXT(Data[[#This Row],[Issue Date]],"mmmm")</f>
        <v>July</v>
      </c>
    </row>
    <row r="94" spans="1:15" x14ac:dyDescent="0.25">
      <c r="A94">
        <v>5093</v>
      </c>
      <c r="B94">
        <v>115</v>
      </c>
      <c r="C94" s="1" t="s">
        <v>23</v>
      </c>
      <c r="D94" s="1" t="s">
        <v>24</v>
      </c>
      <c r="E94" s="1" t="s">
        <v>25</v>
      </c>
      <c r="F94">
        <v>2015</v>
      </c>
      <c r="G94" s="1" t="s">
        <v>75</v>
      </c>
      <c r="H94" s="1" t="s">
        <v>32</v>
      </c>
      <c r="I94" s="1" t="s">
        <v>76</v>
      </c>
      <c r="J94" s="2">
        <v>46210</v>
      </c>
      <c r="K94" s="2">
        <v>46224</v>
      </c>
      <c r="L94" s="2">
        <v>46222</v>
      </c>
      <c r="M94" s="4">
        <f>DATEDIF(Data[[#This Row],[Issue Date]],Data[[#This Row],[Due Date]],"d")</f>
        <v>14</v>
      </c>
      <c r="N94" s="2" t="str">
        <f>IF(Data[[#This Row],[Due Date]]&lt;&gt;Data[[#This Row],[Return Date]],"Late Return","Return Book")</f>
        <v>Late Return</v>
      </c>
      <c r="O94" s="2" t="str">
        <f>TEXT(Data[[#This Row],[Issue Date]],"mmmm")</f>
        <v>July</v>
      </c>
    </row>
    <row r="95" spans="1:15" x14ac:dyDescent="0.25">
      <c r="A95">
        <v>5094</v>
      </c>
      <c r="B95">
        <v>103</v>
      </c>
      <c r="C95" s="1" t="s">
        <v>29</v>
      </c>
      <c r="D95" s="1" t="s">
        <v>30</v>
      </c>
      <c r="E95" s="1" t="s">
        <v>25</v>
      </c>
      <c r="F95">
        <v>2018</v>
      </c>
      <c r="G95" s="1" t="s">
        <v>79</v>
      </c>
      <c r="H95" s="1" t="s">
        <v>16</v>
      </c>
      <c r="I95" s="1" t="s">
        <v>49</v>
      </c>
      <c r="J95" s="2">
        <v>46215</v>
      </c>
      <c r="K95" s="2">
        <v>46229</v>
      </c>
      <c r="L95" s="2">
        <v>46226</v>
      </c>
      <c r="M95" s="4">
        <f>DATEDIF(Data[[#This Row],[Issue Date]],Data[[#This Row],[Due Date]],"d")</f>
        <v>14</v>
      </c>
      <c r="N95" s="2" t="str">
        <f>IF(Data[[#This Row],[Due Date]]&lt;&gt;Data[[#This Row],[Return Date]],"Late Return","Return Book")</f>
        <v>Late Return</v>
      </c>
      <c r="O95" s="2" t="str">
        <f>TEXT(Data[[#This Row],[Issue Date]],"mmmm")</f>
        <v>July</v>
      </c>
    </row>
    <row r="96" spans="1:15" x14ac:dyDescent="0.25">
      <c r="A96">
        <v>5095</v>
      </c>
      <c r="B96">
        <v>110</v>
      </c>
      <c r="C96" s="1" t="s">
        <v>34</v>
      </c>
      <c r="D96" s="1" t="s">
        <v>35</v>
      </c>
      <c r="E96" s="1" t="s">
        <v>25</v>
      </c>
      <c r="F96">
        <v>2001</v>
      </c>
      <c r="G96" s="1" t="s">
        <v>15</v>
      </c>
      <c r="H96" s="1" t="s">
        <v>16</v>
      </c>
      <c r="I96" s="1" t="s">
        <v>17</v>
      </c>
      <c r="J96" s="2">
        <v>46220</v>
      </c>
      <c r="K96" s="2">
        <v>46241</v>
      </c>
      <c r="L96" s="2">
        <v>46237</v>
      </c>
      <c r="M96" s="4">
        <f>DATEDIF(Data[[#This Row],[Issue Date]],Data[[#This Row],[Due Date]],"d")</f>
        <v>21</v>
      </c>
      <c r="N96" s="2" t="str">
        <f>IF(Data[[#This Row],[Due Date]]&lt;&gt;Data[[#This Row],[Return Date]],"Late Return","Return Book")</f>
        <v>Late Return</v>
      </c>
      <c r="O96" s="2" t="str">
        <f>TEXT(Data[[#This Row],[Issue Date]],"mmmm")</f>
        <v>July</v>
      </c>
    </row>
    <row r="97" spans="1:15" x14ac:dyDescent="0.25">
      <c r="A97">
        <v>5096</v>
      </c>
      <c r="B97">
        <v>117</v>
      </c>
      <c r="C97" s="1" t="s">
        <v>37</v>
      </c>
      <c r="D97" s="1" t="s">
        <v>38</v>
      </c>
      <c r="E97" s="1" t="s">
        <v>39</v>
      </c>
      <c r="F97">
        <v>2005</v>
      </c>
      <c r="G97" s="1" t="s">
        <v>67</v>
      </c>
      <c r="H97" s="1" t="s">
        <v>32</v>
      </c>
      <c r="I97" s="1" t="s">
        <v>68</v>
      </c>
      <c r="J97" s="2">
        <v>46225</v>
      </c>
      <c r="K97" s="2">
        <v>46239</v>
      </c>
      <c r="L97" s="2">
        <v>46239</v>
      </c>
      <c r="M97" s="4">
        <f>DATEDIF(Data[[#This Row],[Issue Date]],Data[[#This Row],[Due Date]],"d")</f>
        <v>14</v>
      </c>
      <c r="N97" s="2" t="str">
        <f>IF(Data[[#This Row],[Due Date]]&lt;&gt;Data[[#This Row],[Return Date]],"Late Return","Return Book")</f>
        <v>Return Book</v>
      </c>
      <c r="O97" s="2" t="str">
        <f>TEXT(Data[[#This Row],[Issue Date]],"mmmm")</f>
        <v>July</v>
      </c>
    </row>
    <row r="98" spans="1:15" x14ac:dyDescent="0.25">
      <c r="A98">
        <v>5097</v>
      </c>
      <c r="B98">
        <v>105</v>
      </c>
      <c r="C98" s="1" t="s">
        <v>41</v>
      </c>
      <c r="D98" s="1" t="s">
        <v>42</v>
      </c>
      <c r="E98" s="1" t="s">
        <v>43</v>
      </c>
      <c r="F98">
        <v>2008</v>
      </c>
      <c r="G98" s="1" t="s">
        <v>83</v>
      </c>
      <c r="H98" s="1" t="s">
        <v>16</v>
      </c>
      <c r="I98" s="1" t="s">
        <v>17</v>
      </c>
      <c r="J98" s="2">
        <v>46230</v>
      </c>
      <c r="K98" s="2">
        <v>46237</v>
      </c>
      <c r="L98" s="2">
        <v>46237</v>
      </c>
      <c r="M98" s="4">
        <f>DATEDIF(Data[[#This Row],[Issue Date]],Data[[#This Row],[Due Date]],"d")</f>
        <v>7</v>
      </c>
      <c r="N98" s="2" t="str">
        <f>IF(Data[[#This Row],[Due Date]]&lt;&gt;Data[[#This Row],[Return Date]],"Late Return","Return Book")</f>
        <v>Return Book</v>
      </c>
      <c r="O98" s="2" t="str">
        <f>TEXT(Data[[#This Row],[Issue Date]],"mmmm")</f>
        <v>July</v>
      </c>
    </row>
    <row r="99" spans="1:15" x14ac:dyDescent="0.25">
      <c r="A99">
        <v>5098</v>
      </c>
      <c r="B99">
        <v>112</v>
      </c>
      <c r="C99" s="1" t="s">
        <v>45</v>
      </c>
      <c r="D99" s="1" t="s">
        <v>46</v>
      </c>
      <c r="E99" s="1" t="s">
        <v>47</v>
      </c>
      <c r="F99">
        <v>2011</v>
      </c>
      <c r="G99" s="1" t="s">
        <v>87</v>
      </c>
      <c r="H99" s="1" t="s">
        <v>16</v>
      </c>
      <c r="I99" s="1" t="s">
        <v>49</v>
      </c>
      <c r="J99" s="2">
        <v>46235</v>
      </c>
      <c r="K99" s="2">
        <v>46265</v>
      </c>
      <c r="L99" s="2">
        <v>46265</v>
      </c>
      <c r="M99" s="4">
        <f>DATEDIF(Data[[#This Row],[Issue Date]],Data[[#This Row],[Due Date]],"d")</f>
        <v>30</v>
      </c>
      <c r="N99" s="2" t="str">
        <f>IF(Data[[#This Row],[Due Date]]&lt;&gt;Data[[#This Row],[Return Date]],"Late Return","Return Book")</f>
        <v>Return Book</v>
      </c>
      <c r="O99" s="2" t="str">
        <f>TEXT(Data[[#This Row],[Issue Date]],"mmmm")</f>
        <v>August</v>
      </c>
    </row>
    <row r="100" spans="1:15" x14ac:dyDescent="0.25">
      <c r="A100">
        <v>5099</v>
      </c>
      <c r="B100">
        <v>119</v>
      </c>
      <c r="C100" s="1" t="s">
        <v>50</v>
      </c>
      <c r="D100" s="1" t="s">
        <v>51</v>
      </c>
      <c r="E100" s="1" t="s">
        <v>52</v>
      </c>
      <c r="F100">
        <v>2014</v>
      </c>
      <c r="G100" s="1" t="s">
        <v>88</v>
      </c>
      <c r="H100" s="1" t="s">
        <v>16</v>
      </c>
      <c r="I100" s="1" t="s">
        <v>17</v>
      </c>
      <c r="J100" s="2">
        <v>46219</v>
      </c>
      <c r="K100" s="2">
        <v>46226</v>
      </c>
      <c r="L100" s="2">
        <v>46226</v>
      </c>
      <c r="M100" s="4">
        <f>DATEDIF(Data[[#This Row],[Issue Date]],Data[[#This Row],[Due Date]],"d")</f>
        <v>7</v>
      </c>
      <c r="N100" s="2" t="str">
        <f>IF(Data[[#This Row],[Due Date]]&lt;&gt;Data[[#This Row],[Return Date]],"Late Return","Return Book")</f>
        <v>Return Book</v>
      </c>
      <c r="O100" s="2" t="str">
        <f>TEXT(Data[[#This Row],[Issue Date]],"mmmm")</f>
        <v>July</v>
      </c>
    </row>
    <row r="101" spans="1:15" x14ac:dyDescent="0.25">
      <c r="A101">
        <v>5100</v>
      </c>
      <c r="B101">
        <v>107</v>
      </c>
      <c r="C101" s="1" t="s">
        <v>54</v>
      </c>
      <c r="D101" s="1" t="s">
        <v>55</v>
      </c>
      <c r="E101" s="1" t="s">
        <v>39</v>
      </c>
      <c r="F101">
        <v>2017</v>
      </c>
      <c r="G101" s="1" t="s">
        <v>40</v>
      </c>
      <c r="H101" s="1" t="s">
        <v>27</v>
      </c>
      <c r="I101" s="1" t="s">
        <v>20</v>
      </c>
      <c r="J101" s="2">
        <v>46224</v>
      </c>
      <c r="K101" s="2">
        <v>46238</v>
      </c>
      <c r="L101" s="2">
        <v>46238</v>
      </c>
      <c r="M101" s="4">
        <f>DATEDIF(Data[[#This Row],[Issue Date]],Data[[#This Row],[Due Date]],"d")</f>
        <v>14</v>
      </c>
      <c r="N101" s="2" t="str">
        <f>IF(Data[[#This Row],[Due Date]]&lt;&gt;Data[[#This Row],[Return Date]],"Late Return","Return Book")</f>
        <v>Return Book</v>
      </c>
      <c r="O101" s="2" t="str">
        <f>TEXT(Data[[#This Row],[Issue Date]],"mmmm")</f>
        <v>July</v>
      </c>
    </row>
    <row r="102" spans="1:15" x14ac:dyDescent="0.25">
      <c r="A102">
        <v>5101</v>
      </c>
      <c r="B102">
        <v>114</v>
      </c>
      <c r="C102" s="1" t="s">
        <v>58</v>
      </c>
      <c r="D102" s="1" t="s">
        <v>59</v>
      </c>
      <c r="E102" s="1" t="s">
        <v>52</v>
      </c>
      <c r="F102">
        <v>2001</v>
      </c>
      <c r="G102" s="1" t="s">
        <v>15</v>
      </c>
      <c r="H102" s="1" t="s">
        <v>16</v>
      </c>
      <c r="I102" s="1" t="s">
        <v>17</v>
      </c>
      <c r="J102" s="2">
        <v>46229</v>
      </c>
      <c r="K102" s="2">
        <v>46243</v>
      </c>
      <c r="L102" s="2">
        <v>46243</v>
      </c>
      <c r="M102" s="4">
        <f>DATEDIF(Data[[#This Row],[Issue Date]],Data[[#This Row],[Due Date]],"d")</f>
        <v>14</v>
      </c>
      <c r="N102" s="2" t="str">
        <f>IF(Data[[#This Row],[Due Date]]&lt;&gt;Data[[#This Row],[Return Date]],"Late Return","Return Book")</f>
        <v>Return Book</v>
      </c>
      <c r="O102" s="2" t="str">
        <f>TEXT(Data[[#This Row],[Issue Date]],"mmmm")</f>
        <v>July</v>
      </c>
    </row>
    <row r="103" spans="1:15" x14ac:dyDescent="0.25">
      <c r="A103">
        <v>5102</v>
      </c>
      <c r="B103">
        <v>101</v>
      </c>
      <c r="C103" s="1" t="s">
        <v>12</v>
      </c>
      <c r="D103" s="1" t="s">
        <v>13</v>
      </c>
      <c r="E103" s="1" t="s">
        <v>14</v>
      </c>
      <c r="F103">
        <v>2004</v>
      </c>
      <c r="G103" s="1" t="s">
        <v>21</v>
      </c>
      <c r="H103" s="1" t="s">
        <v>16</v>
      </c>
      <c r="I103" s="1" t="s">
        <v>22</v>
      </c>
      <c r="J103" s="2">
        <v>46234</v>
      </c>
      <c r="K103" s="2">
        <v>46255</v>
      </c>
      <c r="L103" s="2">
        <v>46254</v>
      </c>
      <c r="M103" s="4">
        <f>DATEDIF(Data[[#This Row],[Issue Date]],Data[[#This Row],[Due Date]],"d")</f>
        <v>21</v>
      </c>
      <c r="N103" s="2" t="str">
        <f>IF(Data[[#This Row],[Due Date]]&lt;&gt;Data[[#This Row],[Return Date]],"Late Return","Return Book")</f>
        <v>Late Return</v>
      </c>
      <c r="O103" s="2" t="str">
        <f>TEXT(Data[[#This Row],[Issue Date]],"mmmm")</f>
        <v>July</v>
      </c>
    </row>
    <row r="104" spans="1:15" x14ac:dyDescent="0.25">
      <c r="A104">
        <v>5103</v>
      </c>
      <c r="B104">
        <v>109</v>
      </c>
      <c r="C104" s="1" t="s">
        <v>61</v>
      </c>
      <c r="D104" s="1" t="s">
        <v>62</v>
      </c>
      <c r="E104" s="1" t="s">
        <v>52</v>
      </c>
      <c r="F104">
        <v>2007</v>
      </c>
      <c r="G104" s="1" t="s">
        <v>26</v>
      </c>
      <c r="H104" s="1" t="s">
        <v>27</v>
      </c>
      <c r="I104" s="1" t="s">
        <v>28</v>
      </c>
      <c r="J104" s="2">
        <v>46239</v>
      </c>
      <c r="K104" s="2">
        <v>46253</v>
      </c>
      <c r="L104" s="2">
        <v>46251</v>
      </c>
      <c r="M104" s="4">
        <f>DATEDIF(Data[[#This Row],[Issue Date]],Data[[#This Row],[Due Date]],"d")</f>
        <v>14</v>
      </c>
      <c r="N104" s="2" t="str">
        <f>IF(Data[[#This Row],[Due Date]]&lt;&gt;Data[[#This Row],[Return Date]],"Late Return","Return Book")</f>
        <v>Late Return</v>
      </c>
      <c r="O104" s="2" t="str">
        <f>TEXT(Data[[#This Row],[Issue Date]],"mmmm")</f>
        <v>August</v>
      </c>
    </row>
    <row r="105" spans="1:15" x14ac:dyDescent="0.25">
      <c r="A105">
        <v>5104</v>
      </c>
      <c r="B105">
        <v>116</v>
      </c>
      <c r="C105" s="1" t="s">
        <v>64</v>
      </c>
      <c r="D105" s="1" t="s">
        <v>65</v>
      </c>
      <c r="E105" s="1" t="s">
        <v>20</v>
      </c>
      <c r="F105">
        <v>2010</v>
      </c>
      <c r="G105" s="1" t="s">
        <v>31</v>
      </c>
      <c r="H105" s="1" t="s">
        <v>32</v>
      </c>
      <c r="I105" s="1" t="s">
        <v>33</v>
      </c>
      <c r="J105" s="2">
        <v>46244</v>
      </c>
      <c r="K105" s="2">
        <v>46251</v>
      </c>
      <c r="L105" s="2">
        <v>46248</v>
      </c>
      <c r="M105" s="4">
        <f>DATEDIF(Data[[#This Row],[Issue Date]],Data[[#This Row],[Due Date]],"d")</f>
        <v>7</v>
      </c>
      <c r="N105" s="2" t="str">
        <f>IF(Data[[#This Row],[Due Date]]&lt;&gt;Data[[#This Row],[Return Date]],"Late Return","Return Book")</f>
        <v>Late Return</v>
      </c>
      <c r="O105" s="2" t="str">
        <f>TEXT(Data[[#This Row],[Issue Date]],"mmmm")</f>
        <v>August</v>
      </c>
    </row>
    <row r="106" spans="1:15" x14ac:dyDescent="0.25">
      <c r="A106">
        <v>5105</v>
      </c>
      <c r="B106">
        <v>103</v>
      </c>
      <c r="C106" s="1" t="s">
        <v>29</v>
      </c>
      <c r="D106" s="1" t="s">
        <v>30</v>
      </c>
      <c r="E106" s="1" t="s">
        <v>25</v>
      </c>
      <c r="F106">
        <v>2013</v>
      </c>
      <c r="G106" s="1" t="s">
        <v>36</v>
      </c>
      <c r="H106" s="1" t="s">
        <v>16</v>
      </c>
      <c r="I106" s="1" t="s">
        <v>22</v>
      </c>
      <c r="J106" s="2">
        <v>46249</v>
      </c>
      <c r="K106" s="2">
        <v>46279</v>
      </c>
      <c r="L106" s="2">
        <v>46275</v>
      </c>
      <c r="M106" s="4">
        <f>DATEDIF(Data[[#This Row],[Issue Date]],Data[[#This Row],[Due Date]],"d")</f>
        <v>30</v>
      </c>
      <c r="N106" s="2" t="str">
        <f>IF(Data[[#This Row],[Due Date]]&lt;&gt;Data[[#This Row],[Return Date]],"Late Return","Return Book")</f>
        <v>Late Return</v>
      </c>
      <c r="O106" s="2" t="str">
        <f>TEXT(Data[[#This Row],[Issue Date]],"mmmm")</f>
        <v>August</v>
      </c>
    </row>
    <row r="107" spans="1:15" x14ac:dyDescent="0.25">
      <c r="A107">
        <v>5106</v>
      </c>
      <c r="B107">
        <v>111</v>
      </c>
      <c r="C107" s="1" t="s">
        <v>69</v>
      </c>
      <c r="D107" s="1" t="s">
        <v>70</v>
      </c>
      <c r="E107" s="1" t="s">
        <v>47</v>
      </c>
      <c r="F107">
        <v>2017</v>
      </c>
      <c r="G107" s="1" t="s">
        <v>40</v>
      </c>
      <c r="H107" s="1" t="s">
        <v>27</v>
      </c>
      <c r="I107" s="1" t="s">
        <v>20</v>
      </c>
      <c r="J107" s="2">
        <v>46233</v>
      </c>
      <c r="K107" s="2">
        <v>46240</v>
      </c>
      <c r="L107" s="2">
        <v>46240</v>
      </c>
      <c r="M107" s="4">
        <f>DATEDIF(Data[[#This Row],[Issue Date]],Data[[#This Row],[Due Date]],"d")</f>
        <v>7</v>
      </c>
      <c r="N107" s="2" t="str">
        <f>IF(Data[[#This Row],[Due Date]]&lt;&gt;Data[[#This Row],[Return Date]],"Late Return","Return Book")</f>
        <v>Return Book</v>
      </c>
      <c r="O107" s="2" t="str">
        <f>TEXT(Data[[#This Row],[Issue Date]],"mmmm")</f>
        <v>July</v>
      </c>
    </row>
    <row r="108" spans="1:15" x14ac:dyDescent="0.25">
      <c r="A108">
        <v>5107</v>
      </c>
      <c r="B108">
        <v>118</v>
      </c>
      <c r="C108" s="1" t="s">
        <v>71</v>
      </c>
      <c r="D108" s="1" t="s">
        <v>72</v>
      </c>
      <c r="E108" s="1" t="s">
        <v>47</v>
      </c>
      <c r="F108">
        <v>2020</v>
      </c>
      <c r="G108" s="1" t="s">
        <v>44</v>
      </c>
      <c r="H108" s="1" t="s">
        <v>16</v>
      </c>
      <c r="I108" s="1" t="s">
        <v>22</v>
      </c>
      <c r="J108" s="2">
        <v>46238</v>
      </c>
      <c r="K108" s="2">
        <v>46252</v>
      </c>
      <c r="L108" s="2">
        <v>46252</v>
      </c>
      <c r="M108" s="4">
        <f>DATEDIF(Data[[#This Row],[Issue Date]],Data[[#This Row],[Due Date]],"d")</f>
        <v>14</v>
      </c>
      <c r="N108" s="2" t="str">
        <f>IF(Data[[#This Row],[Due Date]]&lt;&gt;Data[[#This Row],[Return Date]],"Late Return","Return Book")</f>
        <v>Return Book</v>
      </c>
      <c r="O108" s="2" t="str">
        <f>TEXT(Data[[#This Row],[Issue Date]],"mmmm")</f>
        <v>August</v>
      </c>
    </row>
    <row r="109" spans="1:15" x14ac:dyDescent="0.25">
      <c r="A109">
        <v>5108</v>
      </c>
      <c r="B109">
        <v>105</v>
      </c>
      <c r="C109" s="1" t="s">
        <v>41</v>
      </c>
      <c r="D109" s="1" t="s">
        <v>42</v>
      </c>
      <c r="E109" s="1" t="s">
        <v>43</v>
      </c>
      <c r="F109">
        <v>2003</v>
      </c>
      <c r="G109" s="1" t="s">
        <v>48</v>
      </c>
      <c r="H109" s="1" t="s">
        <v>27</v>
      </c>
      <c r="I109" s="1" t="s">
        <v>49</v>
      </c>
      <c r="J109" s="2">
        <v>46243</v>
      </c>
      <c r="K109" s="2">
        <v>46257</v>
      </c>
      <c r="L109" s="2">
        <v>46257</v>
      </c>
      <c r="M109" s="4">
        <f>DATEDIF(Data[[#This Row],[Issue Date]],Data[[#This Row],[Due Date]],"d")</f>
        <v>14</v>
      </c>
      <c r="N109" s="2" t="str">
        <f>IF(Data[[#This Row],[Due Date]]&lt;&gt;Data[[#This Row],[Return Date]],"Late Return","Return Book")</f>
        <v>Return Book</v>
      </c>
      <c r="O109" s="2" t="str">
        <f>TEXT(Data[[#This Row],[Issue Date]],"mmmm")</f>
        <v>August</v>
      </c>
    </row>
    <row r="110" spans="1:15" x14ac:dyDescent="0.25">
      <c r="A110">
        <v>5109</v>
      </c>
      <c r="B110">
        <v>113</v>
      </c>
      <c r="C110" s="1" t="s">
        <v>77</v>
      </c>
      <c r="D110" s="1" t="s">
        <v>78</v>
      </c>
      <c r="E110" s="1" t="s">
        <v>43</v>
      </c>
      <c r="F110">
        <v>2006</v>
      </c>
      <c r="G110" s="1" t="s">
        <v>53</v>
      </c>
      <c r="H110" s="1" t="s">
        <v>16</v>
      </c>
      <c r="I110" s="1" t="s">
        <v>49</v>
      </c>
      <c r="J110" s="2">
        <v>46248</v>
      </c>
      <c r="K110" s="2">
        <v>46269</v>
      </c>
      <c r="L110" s="2">
        <v>46269</v>
      </c>
      <c r="M110" s="4">
        <f>DATEDIF(Data[[#This Row],[Issue Date]],Data[[#This Row],[Due Date]],"d")</f>
        <v>21</v>
      </c>
      <c r="N110" s="2" t="str">
        <f>IF(Data[[#This Row],[Due Date]]&lt;&gt;Data[[#This Row],[Return Date]],"Late Return","Return Book")</f>
        <v>Return Book</v>
      </c>
      <c r="O110" s="2" t="str">
        <f>TEXT(Data[[#This Row],[Issue Date]],"mmmm")</f>
        <v>August</v>
      </c>
    </row>
    <row r="111" spans="1:15" x14ac:dyDescent="0.25">
      <c r="A111">
        <v>5110</v>
      </c>
      <c r="B111">
        <v>120</v>
      </c>
      <c r="C111" s="1" t="s">
        <v>80</v>
      </c>
      <c r="D111" s="1" t="s">
        <v>81</v>
      </c>
      <c r="E111" s="1" t="s">
        <v>82</v>
      </c>
      <c r="F111">
        <v>2009</v>
      </c>
      <c r="G111" s="1" t="s">
        <v>56</v>
      </c>
      <c r="H111" s="1" t="s">
        <v>16</v>
      </c>
      <c r="I111" s="1" t="s">
        <v>57</v>
      </c>
      <c r="J111" s="2">
        <v>46253</v>
      </c>
      <c r="K111" s="2">
        <v>46267</v>
      </c>
      <c r="L111" s="2">
        <v>46267</v>
      </c>
      <c r="M111" s="4">
        <f>DATEDIF(Data[[#This Row],[Issue Date]],Data[[#This Row],[Due Date]],"d")</f>
        <v>14</v>
      </c>
      <c r="N111" s="2" t="str">
        <f>IF(Data[[#This Row],[Due Date]]&lt;&gt;Data[[#This Row],[Return Date]],"Late Return","Return Book")</f>
        <v>Return Book</v>
      </c>
      <c r="O111" s="2" t="str">
        <f>TEXT(Data[[#This Row],[Issue Date]],"mmmm")</f>
        <v>August</v>
      </c>
    </row>
    <row r="112" spans="1:15" x14ac:dyDescent="0.25">
      <c r="A112">
        <v>5111</v>
      </c>
      <c r="B112">
        <v>107</v>
      </c>
      <c r="C112" s="1" t="s">
        <v>54</v>
      </c>
      <c r="D112" s="1" t="s">
        <v>55</v>
      </c>
      <c r="E112" s="1" t="s">
        <v>39</v>
      </c>
      <c r="F112">
        <v>2013</v>
      </c>
      <c r="G112" s="1" t="s">
        <v>36</v>
      </c>
      <c r="H112" s="1" t="s">
        <v>16</v>
      </c>
      <c r="I112" s="1" t="s">
        <v>22</v>
      </c>
      <c r="J112" s="2">
        <v>46258</v>
      </c>
      <c r="K112" s="2">
        <v>46265</v>
      </c>
      <c r="L112" s="2">
        <v>46265</v>
      </c>
      <c r="M112" s="4">
        <f>DATEDIF(Data[[#This Row],[Issue Date]],Data[[#This Row],[Due Date]],"d")</f>
        <v>7</v>
      </c>
      <c r="N112" s="2" t="str">
        <f>IF(Data[[#This Row],[Due Date]]&lt;&gt;Data[[#This Row],[Return Date]],"Late Return","Return Book")</f>
        <v>Return Book</v>
      </c>
      <c r="O112" s="2" t="str">
        <f>TEXT(Data[[#This Row],[Issue Date]],"mmmm")</f>
        <v>August</v>
      </c>
    </row>
    <row r="113" spans="1:15" x14ac:dyDescent="0.25">
      <c r="A113">
        <v>5112</v>
      </c>
      <c r="B113">
        <v>115</v>
      </c>
      <c r="C113" s="1" t="s">
        <v>23</v>
      </c>
      <c r="D113" s="1" t="s">
        <v>24</v>
      </c>
      <c r="E113" s="1" t="s">
        <v>25</v>
      </c>
      <c r="F113">
        <v>2016</v>
      </c>
      <c r="G113" s="1" t="s">
        <v>60</v>
      </c>
      <c r="H113" s="1" t="s">
        <v>16</v>
      </c>
      <c r="I113" s="1" t="s">
        <v>57</v>
      </c>
      <c r="J113" s="2">
        <v>46263</v>
      </c>
      <c r="K113" s="2">
        <v>46293</v>
      </c>
      <c r="L113" s="2">
        <v>46292</v>
      </c>
      <c r="M113" s="4">
        <f>DATEDIF(Data[[#This Row],[Issue Date]],Data[[#This Row],[Due Date]],"d")</f>
        <v>30</v>
      </c>
      <c r="N113" s="2" t="str">
        <f>IF(Data[[#This Row],[Due Date]]&lt;&gt;Data[[#This Row],[Return Date]],"Late Return","Return Book")</f>
        <v>Late Return</v>
      </c>
      <c r="O113" s="2" t="str">
        <f>TEXT(Data[[#This Row],[Issue Date]],"mmmm")</f>
        <v>August</v>
      </c>
    </row>
    <row r="114" spans="1:15" x14ac:dyDescent="0.25">
      <c r="A114">
        <v>5113</v>
      </c>
      <c r="B114">
        <v>102</v>
      </c>
      <c r="C114" s="1" t="s">
        <v>84</v>
      </c>
      <c r="D114" s="1" t="s">
        <v>85</v>
      </c>
      <c r="E114" s="1" t="s">
        <v>86</v>
      </c>
      <c r="F114">
        <v>2019</v>
      </c>
      <c r="G114" s="1" t="s">
        <v>63</v>
      </c>
      <c r="H114" s="1" t="s">
        <v>16</v>
      </c>
      <c r="I114" s="1" t="s">
        <v>17</v>
      </c>
      <c r="J114" s="2">
        <v>46247</v>
      </c>
      <c r="K114" s="2">
        <v>46254</v>
      </c>
      <c r="L114" s="2">
        <v>46252</v>
      </c>
      <c r="M114" s="4">
        <f>DATEDIF(Data[[#This Row],[Issue Date]],Data[[#This Row],[Due Date]],"d")</f>
        <v>7</v>
      </c>
      <c r="N114" s="2" t="str">
        <f>IF(Data[[#This Row],[Due Date]]&lt;&gt;Data[[#This Row],[Return Date]],"Late Return","Return Book")</f>
        <v>Late Return</v>
      </c>
      <c r="O114" s="2" t="str">
        <f>TEXT(Data[[#This Row],[Issue Date]],"mmmm")</f>
        <v>August</v>
      </c>
    </row>
    <row r="115" spans="1:15" x14ac:dyDescent="0.25">
      <c r="A115">
        <v>5114</v>
      </c>
      <c r="B115">
        <v>109</v>
      </c>
      <c r="C115" s="1" t="s">
        <v>61</v>
      </c>
      <c r="D115" s="1" t="s">
        <v>62</v>
      </c>
      <c r="E115" s="1" t="s">
        <v>52</v>
      </c>
      <c r="F115">
        <v>2002</v>
      </c>
      <c r="G115" s="1" t="s">
        <v>66</v>
      </c>
      <c r="H115" s="1" t="s">
        <v>16</v>
      </c>
      <c r="I115" s="1" t="s">
        <v>57</v>
      </c>
      <c r="J115" s="2">
        <v>46252</v>
      </c>
      <c r="K115" s="2">
        <v>46266</v>
      </c>
      <c r="L115" s="2">
        <v>46263</v>
      </c>
      <c r="M115" s="4">
        <f>DATEDIF(Data[[#This Row],[Issue Date]],Data[[#This Row],[Due Date]],"d")</f>
        <v>14</v>
      </c>
      <c r="N115" s="2" t="str">
        <f>IF(Data[[#This Row],[Due Date]]&lt;&gt;Data[[#This Row],[Return Date]],"Late Return","Return Book")</f>
        <v>Late Return</v>
      </c>
      <c r="O115" s="2" t="str">
        <f>TEXT(Data[[#This Row],[Issue Date]],"mmmm")</f>
        <v>August</v>
      </c>
    </row>
    <row r="116" spans="1:15" x14ac:dyDescent="0.25">
      <c r="A116">
        <v>5115</v>
      </c>
      <c r="B116">
        <v>117</v>
      </c>
      <c r="C116" s="1" t="s">
        <v>37</v>
      </c>
      <c r="D116" s="1" t="s">
        <v>38</v>
      </c>
      <c r="E116" s="1" t="s">
        <v>39</v>
      </c>
      <c r="F116">
        <v>2005</v>
      </c>
      <c r="G116" s="1" t="s">
        <v>67</v>
      </c>
      <c r="H116" s="1" t="s">
        <v>32</v>
      </c>
      <c r="I116" s="1" t="s">
        <v>68</v>
      </c>
      <c r="J116" s="2">
        <v>46257</v>
      </c>
      <c r="K116" s="2">
        <v>46271</v>
      </c>
      <c r="L116" s="2">
        <v>46267</v>
      </c>
      <c r="M116" s="4">
        <f>DATEDIF(Data[[#This Row],[Issue Date]],Data[[#This Row],[Due Date]],"d")</f>
        <v>14</v>
      </c>
      <c r="N116" s="2" t="str">
        <f>IF(Data[[#This Row],[Due Date]]&lt;&gt;Data[[#This Row],[Return Date]],"Late Return","Return Book")</f>
        <v>Late Return</v>
      </c>
      <c r="O116" s="2" t="str">
        <f>TEXT(Data[[#This Row],[Issue Date]],"mmmm")</f>
        <v>August</v>
      </c>
    </row>
    <row r="117" spans="1:15" x14ac:dyDescent="0.25">
      <c r="A117">
        <v>5116</v>
      </c>
      <c r="B117">
        <v>104</v>
      </c>
      <c r="C117" s="1" t="s">
        <v>89</v>
      </c>
      <c r="D117" s="1" t="s">
        <v>90</v>
      </c>
      <c r="E117" s="1" t="s">
        <v>20</v>
      </c>
      <c r="F117">
        <v>2009</v>
      </c>
      <c r="G117" s="1" t="s">
        <v>56</v>
      </c>
      <c r="H117" s="1" t="s">
        <v>16</v>
      </c>
      <c r="I117" s="1" t="s">
        <v>57</v>
      </c>
      <c r="J117" s="2">
        <v>46262</v>
      </c>
      <c r="K117" s="2">
        <v>46283</v>
      </c>
      <c r="L117" s="2">
        <v>46284</v>
      </c>
      <c r="M117" s="4">
        <f>DATEDIF(Data[[#This Row],[Issue Date]],Data[[#This Row],[Due Date]],"d")</f>
        <v>21</v>
      </c>
      <c r="N117" s="2" t="str">
        <f>IF(Data[[#This Row],[Due Date]]&lt;&gt;Data[[#This Row],[Return Date]],"Late Return","Return Book")</f>
        <v>Late Return</v>
      </c>
      <c r="O117" s="2" t="str">
        <f>TEXT(Data[[#This Row],[Issue Date]],"mmmm")</f>
        <v>August</v>
      </c>
    </row>
    <row r="118" spans="1:15" x14ac:dyDescent="0.25">
      <c r="A118">
        <v>5117</v>
      </c>
      <c r="B118">
        <v>111</v>
      </c>
      <c r="C118" s="1" t="s">
        <v>69</v>
      </c>
      <c r="D118" s="1" t="s">
        <v>70</v>
      </c>
      <c r="E118" s="1" t="s">
        <v>47</v>
      </c>
      <c r="F118">
        <v>2012</v>
      </c>
      <c r="G118" s="1" t="s">
        <v>73</v>
      </c>
      <c r="H118" s="1" t="s">
        <v>27</v>
      </c>
      <c r="I118" s="1" t="s">
        <v>74</v>
      </c>
      <c r="J118" s="2">
        <v>46267</v>
      </c>
      <c r="K118" s="2">
        <v>46281</v>
      </c>
      <c r="L118" s="2">
        <v>46285</v>
      </c>
      <c r="M118" s="4">
        <f>DATEDIF(Data[[#This Row],[Issue Date]],Data[[#This Row],[Due Date]],"d")</f>
        <v>14</v>
      </c>
      <c r="N118" s="2" t="str">
        <f>IF(Data[[#This Row],[Due Date]]&lt;&gt;Data[[#This Row],[Return Date]],"Late Return","Return Book")</f>
        <v>Late Return</v>
      </c>
      <c r="O118" s="2" t="str">
        <f>TEXT(Data[[#This Row],[Issue Date]],"mmmm")</f>
        <v>September</v>
      </c>
    </row>
    <row r="119" spans="1:15" x14ac:dyDescent="0.25">
      <c r="A119">
        <v>5118</v>
      </c>
      <c r="B119">
        <v>119</v>
      </c>
      <c r="C119" s="1" t="s">
        <v>50</v>
      </c>
      <c r="D119" s="1" t="s">
        <v>51</v>
      </c>
      <c r="E119" s="1" t="s">
        <v>52</v>
      </c>
      <c r="F119">
        <v>2015</v>
      </c>
      <c r="G119" s="1" t="s">
        <v>75</v>
      </c>
      <c r="H119" s="1" t="s">
        <v>32</v>
      </c>
      <c r="I119" s="1" t="s">
        <v>76</v>
      </c>
      <c r="J119" s="2">
        <v>46272</v>
      </c>
      <c r="K119" s="2">
        <v>46279</v>
      </c>
      <c r="L119" s="2">
        <v>46286</v>
      </c>
      <c r="M119" s="4">
        <f>DATEDIF(Data[[#This Row],[Issue Date]],Data[[#This Row],[Due Date]],"d")</f>
        <v>7</v>
      </c>
      <c r="N119" s="2" t="str">
        <f>IF(Data[[#This Row],[Due Date]]&lt;&gt;Data[[#This Row],[Return Date]],"Late Return","Return Book")</f>
        <v>Late Return</v>
      </c>
      <c r="O119" s="2" t="str">
        <f>TEXT(Data[[#This Row],[Issue Date]],"mmmm")</f>
        <v>September</v>
      </c>
    </row>
    <row r="120" spans="1:15" x14ac:dyDescent="0.25">
      <c r="A120">
        <v>5119</v>
      </c>
      <c r="B120">
        <v>106</v>
      </c>
      <c r="C120" s="1" t="s">
        <v>91</v>
      </c>
      <c r="D120" s="1" t="s">
        <v>92</v>
      </c>
      <c r="E120" s="1" t="s">
        <v>39</v>
      </c>
      <c r="F120">
        <v>2018</v>
      </c>
      <c r="G120" s="1" t="s">
        <v>79</v>
      </c>
      <c r="H120" s="1" t="s">
        <v>16</v>
      </c>
      <c r="I120" s="1" t="s">
        <v>49</v>
      </c>
      <c r="J120" s="2">
        <v>46277</v>
      </c>
      <c r="K120" s="2">
        <v>46307</v>
      </c>
      <c r="L120" s="2">
        <v>46316</v>
      </c>
      <c r="M120" s="4">
        <f>DATEDIF(Data[[#This Row],[Issue Date]],Data[[#This Row],[Due Date]],"d")</f>
        <v>30</v>
      </c>
      <c r="N120" s="2" t="str">
        <f>IF(Data[[#This Row],[Due Date]]&lt;&gt;Data[[#This Row],[Return Date]],"Late Return","Return Book")</f>
        <v>Late Return</v>
      </c>
      <c r="O120" s="2" t="str">
        <f>TEXT(Data[[#This Row],[Issue Date]],"mmmm")</f>
        <v>September</v>
      </c>
    </row>
    <row r="121" spans="1:15" x14ac:dyDescent="0.25">
      <c r="A121">
        <v>5120</v>
      </c>
      <c r="B121">
        <v>113</v>
      </c>
      <c r="C121" s="1" t="s">
        <v>77</v>
      </c>
      <c r="D121" s="1" t="s">
        <v>78</v>
      </c>
      <c r="E121" s="1" t="s">
        <v>43</v>
      </c>
      <c r="F121">
        <v>2001</v>
      </c>
      <c r="G121" s="1" t="s">
        <v>15</v>
      </c>
      <c r="H121" s="1" t="s">
        <v>16</v>
      </c>
      <c r="I121" s="1" t="s">
        <v>17</v>
      </c>
      <c r="J121" s="2">
        <v>46261</v>
      </c>
      <c r="K121" s="2">
        <v>46268</v>
      </c>
      <c r="L121" s="2">
        <v>46268</v>
      </c>
      <c r="M121" s="4">
        <f>DATEDIF(Data[[#This Row],[Issue Date]],Data[[#This Row],[Due Date]],"d")</f>
        <v>7</v>
      </c>
      <c r="N121" s="2" t="str">
        <f>IF(Data[[#This Row],[Due Date]]&lt;&gt;Data[[#This Row],[Return Date]],"Late Return","Return Book")</f>
        <v>Return Book</v>
      </c>
      <c r="O121" s="2" t="str">
        <f>TEXT(Data[[#This Row],[Issue Date]],"mmmm")</f>
        <v>August</v>
      </c>
    </row>
  </sheetData>
  <phoneticPr fontId="5"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A8148E-62ED-4EA7-B679-648CE8B529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 </vt:lpstr>
      <vt:lpstr>Analysis</vt:lpstr>
      <vt:lpstr>Summery Report</vt:lpstr>
      <vt:lpstr>Pivot Tables</vt:lpstr>
      <vt:lpstr>Book Transction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himanshi_sangani@outlook.com</dc:creator>
  <cp:lastModifiedBy>himanshi_sangani@outlook.com</cp:lastModifiedBy>
  <dcterms:created xsi:type="dcterms:W3CDTF">2026-10-15T13:51:21Z</dcterms:created>
  <dcterms:modified xsi:type="dcterms:W3CDTF">2026-10-16T05:44:28Z</dcterms:modified>
</cp:coreProperties>
</file>